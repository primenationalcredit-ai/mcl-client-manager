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PA Checklist" sheetId="1" state="visible" r:id="rId1"/>
    <sheet xmlns:r="http://schemas.openxmlformats.org/officeDocument/2006/relationships" name="Dashboard" sheetId="2" state="visible" r:id="rId2"/>
    <sheet xmlns:r="http://schemas.openxmlformats.org/officeDocument/2006/relationships" name="S-Corp Reconciliation" sheetId="3" state="visible" r:id="rId3"/>
    <sheet xmlns:r="http://schemas.openxmlformats.org/officeDocument/2006/relationships" name="Rental - Cypress" sheetId="4" state="visible" r:id="rId4"/>
    <sheet xmlns:r="http://schemas.openxmlformats.org/officeDocument/2006/relationships" name="Rental - Briarwest" sheetId="5" state="visible" r:id="rId5"/>
    <sheet xmlns:r="http://schemas.openxmlformats.org/officeDocument/2006/relationships" name="Truck Asset" sheetId="6" state="visible" r:id="rId6"/>
    <sheet xmlns:r="http://schemas.openxmlformats.org/officeDocument/2006/relationships" name="CPA Notes" sheetId="7" state="visible" r:id="rId7"/>
    <sheet xmlns:r="http://schemas.openxmlformats.org/officeDocument/2006/relationships" name="Drive Folder Map" sheetId="8" state="visible" r:id="rId8"/>
    <sheet xmlns:r="http://schemas.openxmlformats.org/officeDocument/2006/relationships" name="W-2 Summary" sheetId="9" state="visible" r:id="rId9"/>
    <sheet xmlns:r="http://schemas.openxmlformats.org/officeDocument/2006/relationships" name="IDIQ Commissions" sheetId="10" state="visible" r:id="rId10"/>
    <sheet xmlns:r="http://schemas.openxmlformats.org/officeDocument/2006/relationships" name="Business Bank Stmts" sheetId="11" state="visible" r:id="rId11"/>
    <sheet xmlns:r="http://schemas.openxmlformats.org/officeDocument/2006/relationships" name="Business Expenses" sheetId="12" state="visible" r:id="rId12"/>
    <sheet xmlns:r="http://schemas.openxmlformats.org/officeDocument/2006/relationships" name="Amex Analysis" sheetId="13" state="visible" r:id="rId13"/>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0"/>
    <numFmt numFmtId="165" formatCode="0.0%"/>
    <numFmt numFmtId="166" formatCode="$#,##0.00"/>
  </numFmts>
  <fonts count="47">
    <font>
      <name val="Calibri"/>
      <charset val="1"/>
      <family val="2"/>
      <color theme="1"/>
      <sz val="11"/>
    </font>
    <font>
      <name val="Arial"/>
      <family val="0"/>
      <sz val="10"/>
    </font>
    <font>
      <name val="Arial"/>
      <family val="0"/>
      <sz val="10"/>
    </font>
    <font>
      <name val="Arial"/>
      <family val="0"/>
      <sz val="10"/>
    </font>
    <font>
      <name val="Arial"/>
      <charset val="1"/>
      <family val="0"/>
      <b val="1"/>
      <color rgb="FF1B2A4A"/>
      <sz val="16"/>
    </font>
    <font>
      <name val="Arial"/>
      <charset val="1"/>
      <family val="0"/>
      <color rgb="FF666666"/>
      <sz val="10"/>
    </font>
    <font>
      <name val="Arial"/>
      <charset val="1"/>
      <family val="0"/>
      <b val="1"/>
      <color rgb="FFFFFFFF"/>
      <sz val="11"/>
    </font>
    <font>
      <name val="Arial"/>
      <charset val="1"/>
      <family val="0"/>
      <b val="1"/>
      <color rgb="FF1A1A1A"/>
      <sz val="11"/>
    </font>
    <font>
      <name val="Arial"/>
      <charset val="1"/>
      <family val="0"/>
      <color rgb="FF1A1A1A"/>
      <sz val="10"/>
    </font>
    <font>
      <name val="Arial"/>
      <charset val="1"/>
      <family val="0"/>
      <color rgb="FF0000FF"/>
      <sz val="10"/>
      <u val="single"/>
    </font>
    <font>
      <name val="Arial"/>
      <charset val="1"/>
      <family val="0"/>
      <b val="1"/>
      <color rgb="FF2E7D32"/>
      <sz val="10"/>
    </font>
    <font>
      <name val="Arial"/>
      <charset val="1"/>
      <family val="0"/>
      <b val="1"/>
      <color rgb="FFC62828"/>
      <sz val="10"/>
    </font>
    <font>
      <name val="Arial"/>
      <charset val="1"/>
      <family val="0"/>
      <i val="1"/>
      <color rgb="FF666666"/>
      <sz val="10"/>
    </font>
    <font>
      <name val="Arial"/>
      <charset val="1"/>
      <family val="0"/>
      <b val="1"/>
      <color rgb="FFE65100"/>
      <sz val="10"/>
    </font>
    <font>
      <name val="Cambria"/>
      <charset val="1"/>
      <family val="0"/>
      <b val="1"/>
      <sz val="11"/>
    </font>
    <font>
      <name val="Arial"/>
      <charset val="1"/>
      <family val="0"/>
      <color rgb="FF0000FF"/>
      <sz val="10"/>
    </font>
    <font>
      <name val="Arial"/>
      <charset val="1"/>
      <family val="0"/>
      <sz val="10"/>
    </font>
    <font>
      <name val="Arial"/>
      <charset val="1"/>
      <family val="0"/>
      <b val="1"/>
      <sz val="10"/>
    </font>
    <font>
      <name val="Arial"/>
      <charset val="1"/>
      <family val="0"/>
      <b val="1"/>
      <color rgb="FF1565C0"/>
      <sz val="10"/>
    </font>
    <font>
      <name val="Arial"/>
      <charset val="1"/>
      <family val="0"/>
      <b val="1"/>
      <color rgb="FFFFFFFF"/>
      <sz val="10"/>
    </font>
    <font>
      <name val="Arial"/>
      <charset val="1"/>
      <family val="0"/>
      <color rgb="FF000000"/>
      <sz val="10"/>
    </font>
    <font>
      <name val="Arial"/>
      <charset val="1"/>
      <family val="0"/>
      <b val="1"/>
      <color rgb="FF000000"/>
      <sz val="10"/>
    </font>
    <font>
      <name val="Arial"/>
      <charset val="1"/>
      <family val="0"/>
      <b val="1"/>
      <color rgb="FF375623"/>
      <sz val="10"/>
    </font>
    <font>
      <name val="Arial"/>
      <charset val="1"/>
      <family val="0"/>
      <b val="1"/>
      <color rgb="FF1B2A4A"/>
      <sz val="10"/>
    </font>
    <font>
      <name val="Arial"/>
      <charset val="1"/>
      <family val="0"/>
      <color rgb="FF2E7D32"/>
      <sz val="10"/>
    </font>
    <font>
      <name val="Arial"/>
      <charset val="1"/>
      <family val="0"/>
      <b val="1"/>
      <color rgb="FFFFFFFF"/>
      <sz val="13"/>
    </font>
    <font>
      <name val="Arial"/>
      <charset val="1"/>
      <family val="0"/>
      <b val="1"/>
      <color rgb="FFC00000"/>
      <sz val="10"/>
    </font>
    <font>
      <name val="Arial"/>
      <charset val="1"/>
      <family val="0"/>
      <b val="1"/>
      <color rgb="FF7B3F00"/>
      <sz val="10"/>
    </font>
    <font>
      <name val="Arial"/>
      <charset val="1"/>
      <family val="0"/>
      <b val="1"/>
      <color rgb="FFC00000"/>
      <sz val="11"/>
    </font>
    <font>
      <name val="Arial"/>
      <charset val="1"/>
      <family val="0"/>
      <sz val="9"/>
    </font>
    <font>
      <name val="Arial"/>
      <charset val="1"/>
      <family val="0"/>
      <color rgb="FFC00000"/>
      <sz val="10"/>
    </font>
    <font>
      <name val="Arial"/>
      <charset val="1"/>
      <family val="0"/>
      <b val="1"/>
      <color rgb="FFFFFFFF"/>
      <sz val="12"/>
    </font>
    <font>
      <name val="Arial"/>
      <charset val="1"/>
      <family val="0"/>
      <color rgb="FF595959"/>
      <sz val="10"/>
    </font>
    <font>
      <name val="Arial"/>
      <charset val="1"/>
      <family val="0"/>
      <color rgb="FF7B3F00"/>
      <sz val="10"/>
    </font>
    <font>
      <name val="Arial"/>
      <b val="1"/>
      <color rgb="00000000"/>
      <sz val="10"/>
    </font>
    <font>
      <name val="Arial"/>
      <color rgb="00000000"/>
      <sz val="10"/>
    </font>
    <font>
      <name val="Arial"/>
      <b val="1"/>
      <color rgb="00375623"/>
      <sz val="10"/>
    </font>
    <font>
      <name val="Arial"/>
      <b val="1"/>
      <color rgb="007B3F00"/>
      <sz val="10"/>
    </font>
    <font>
      <name val="Arial"/>
      <b val="1"/>
      <color rgb="00FFFFFF"/>
      <sz val="10"/>
    </font>
    <font>
      <name val="Arial"/>
      <b val="1"/>
      <color rgb="00C00000"/>
      <sz val="10"/>
    </font>
    <font>
      <name val="Arial"/>
      <color rgb="00595959"/>
      <sz val="10"/>
    </font>
    <font>
      <name val="Arial"/>
      <b val="1"/>
      <color rgb="00FFFFFF"/>
      <sz val="12"/>
    </font>
    <font>
      <name val="Arial"/>
      <i val="1"/>
      <color rgb="00595959"/>
      <sz val="9"/>
    </font>
    <font>
      <name val="Arial"/>
      <b val="1"/>
      <color rgb="001F3864"/>
      <sz val="10"/>
    </font>
    <font>
      <name val="Arial"/>
      <color rgb="007B3F00"/>
      <sz val="10"/>
    </font>
    <font>
      <name val="Arial"/>
      <color rgb="00C00000"/>
      <sz val="10"/>
    </font>
    <font>
      <name val="Arial"/>
      <color rgb="00375623"/>
      <sz val="10"/>
    </font>
  </fonts>
  <fills count="28">
    <fill>
      <patternFill/>
    </fill>
    <fill>
      <patternFill patternType="gray125"/>
    </fill>
    <fill>
      <patternFill patternType="solid">
        <fgColor rgb="FF1B2A4A"/>
        <bgColor rgb="FF1F3864"/>
      </patternFill>
    </fill>
    <fill>
      <patternFill patternType="solid">
        <fgColor rgb="FFE8F5E9"/>
        <bgColor rgb="FFE0F7FA"/>
      </patternFill>
    </fill>
    <fill>
      <patternFill patternType="solid">
        <fgColor rgb="FFFFFFFF"/>
        <bgColor rgb="FFFFFDE7"/>
      </patternFill>
    </fill>
    <fill>
      <patternFill patternType="solid">
        <fgColor rgb="FFF5F5F5"/>
        <bgColor rgb="FFE8F5E9"/>
      </patternFill>
    </fill>
    <fill>
      <patternFill patternType="solid">
        <fgColor rgb="FFFFF3E0"/>
        <bgColor rgb="FFFFEBEE"/>
      </patternFill>
    </fill>
    <fill>
      <patternFill patternType="solid">
        <fgColor rgb="FFE3F2FD"/>
        <bgColor rgb="FFE0F7FA"/>
      </patternFill>
    </fill>
    <fill>
      <patternFill patternType="solid">
        <fgColor rgb="FFF3E5F5"/>
        <bgColor rgb="FFFBE9E7"/>
      </patternFill>
    </fill>
    <fill>
      <patternFill patternType="solid">
        <fgColor rgb="FFFBE9E7"/>
        <bgColor rgb="FFFFEBEE"/>
      </patternFill>
    </fill>
    <fill>
      <patternFill patternType="solid">
        <fgColor rgb="FFE0F7FA"/>
        <bgColor rgb="FFE3F2FD"/>
      </patternFill>
    </fill>
    <fill>
      <patternFill patternType="solid">
        <fgColor rgb="FFFFFDE7"/>
        <bgColor rgb="FFFFF3E0"/>
      </patternFill>
    </fill>
    <fill>
      <patternFill patternType="solid">
        <fgColor rgb="FFC8E6C9"/>
        <bgColor rgb="FFD6DCE4"/>
      </patternFill>
    </fill>
    <fill>
      <patternFill patternType="solid">
        <fgColor rgb="FFFFFF00"/>
        <bgColor rgb="FFFFD966"/>
      </patternFill>
    </fill>
    <fill>
      <patternFill patternType="solid">
        <fgColor rgb="FFE2EFDA"/>
        <bgColor rgb="FFE8F5E9"/>
      </patternFill>
    </fill>
    <fill>
      <patternFill patternType="solid">
        <fgColor rgb="FF1F3864"/>
        <bgColor rgb="FF1B2A4A"/>
      </patternFill>
    </fill>
    <fill>
      <patternFill patternType="solid">
        <fgColor rgb="FFFFEBEE"/>
        <bgColor rgb="FFFBE9E7"/>
      </patternFill>
    </fill>
    <fill>
      <patternFill patternType="solid">
        <fgColor rgb="FF2E75B6"/>
        <bgColor rgb="FF1565C0"/>
      </patternFill>
    </fill>
    <fill>
      <patternFill patternType="solid">
        <fgColor rgb="FFD9E1F2"/>
        <bgColor rgb="FFD6DCE4"/>
      </patternFill>
    </fill>
    <fill>
      <patternFill patternType="solid">
        <fgColor rgb="FFFFD966"/>
        <bgColor rgb="FFFFE0CC"/>
      </patternFill>
    </fill>
    <fill>
      <patternFill patternType="solid">
        <fgColor rgb="FFD6DCE4"/>
        <bgColor rgb="FFD9E1F2"/>
      </patternFill>
    </fill>
    <fill>
      <patternFill patternType="solid">
        <fgColor rgb="FFFFE0CC"/>
        <bgColor rgb="FFFBE9E7"/>
      </patternFill>
    </fill>
    <fill>
      <patternFill patternType="solid">
        <fgColor rgb="00E2EFDA"/>
      </patternFill>
    </fill>
    <fill>
      <patternFill patternType="solid">
        <fgColor rgb="00FFE0CC"/>
      </patternFill>
    </fill>
    <fill>
      <patternFill patternType="solid">
        <fgColor rgb="00FFD966"/>
      </patternFill>
    </fill>
    <fill>
      <patternFill patternType="solid">
        <fgColor rgb="002E75B6"/>
      </patternFill>
    </fill>
    <fill>
      <patternFill patternType="solid">
        <fgColor rgb="00D9E1F2"/>
      </patternFill>
    </fill>
    <fill>
      <patternFill patternType="solid">
        <fgColor rgb="00FFFFFF"/>
      </patternFill>
    </fill>
  </fills>
  <borders count="13">
    <border>
      <left/>
      <right/>
      <top/>
      <bottom/>
      <diagonal/>
    </border>
    <border>
      <left style="thin">
        <color rgb="FFE0E0E0"/>
      </left>
      <right style="thin">
        <color rgb="FFE0E0E0"/>
      </right>
      <top style="thin">
        <color rgb="FFE0E0E0"/>
      </top>
      <bottom style="thin">
        <color rgb="FFE0E0E0"/>
      </bottom>
      <diagonal/>
    </border>
    <border>
      <left style="thin"/>
      <right style="thin"/>
      <top style="thin"/>
      <bottom style="thin"/>
      <diagonal/>
    </border>
    <border>
      <left style="thin"/>
      <right/>
      <top style="thin"/>
      <bottom style="thin"/>
      <diagonal/>
    </border>
    <border>
      <left/>
      <right/>
      <top style="thin">
        <color rgb="FFE0E0E0"/>
      </top>
      <bottom/>
      <diagonal/>
    </border>
    <border>
      <left/>
      <right style="thin">
        <color rgb="FFE0E0E0"/>
      </right>
      <top style="thin">
        <color rgb="FFE0E0E0"/>
      </top>
      <bottom/>
      <diagonal/>
    </border>
    <border>
      <left/>
      <right/>
      <top style="thin">
        <color rgb="FFE0E0E0"/>
      </top>
      <bottom style="thin">
        <color rgb="FFE0E0E0"/>
      </bottom>
      <diagonal/>
    </border>
    <border>
      <left/>
      <right style="thin">
        <color rgb="FFE0E0E0"/>
      </right>
      <top style="thin">
        <color rgb="FFE0E0E0"/>
      </top>
      <bottom style="thin">
        <color rgb="FFE0E0E0"/>
      </bottom>
      <diagonal/>
    </border>
    <border>
      <left/>
      <right/>
      <top style="thin"/>
      <bottom/>
      <diagonal/>
    </border>
    <border>
      <left/>
      <right/>
      <top style="thin"/>
      <bottom style="thin"/>
      <diagonal/>
    </border>
    <border>
      <left/>
      <right style="thin"/>
      <top style="thin"/>
      <bottom/>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3" borderId="1" applyAlignment="1" pivotButton="0" quotePrefix="0" xfId="0">
      <alignment horizontal="left" vertical="center"/>
    </xf>
    <xf numFmtId="0" fontId="8" fillId="4" borderId="1" applyAlignment="1" pivotButton="0" quotePrefix="0" xfId="0">
      <alignment horizontal="center" vertical="center"/>
    </xf>
    <xf numFmtId="0" fontId="8" fillId="4"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8" fillId="5" borderId="1" applyAlignment="1" pivotButton="0" quotePrefix="0" xfId="0">
      <alignment horizontal="center" vertical="center"/>
    </xf>
    <xf numFmtId="0" fontId="8" fillId="5" borderId="1" applyAlignment="1" pivotButton="0" quotePrefix="0" xfId="0">
      <alignment horizontal="left" vertical="center" wrapText="1"/>
    </xf>
    <xf numFmtId="0" fontId="9"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7" fillId="6" borderId="1" applyAlignment="1" pivotButton="0" quotePrefix="0" xfId="0">
      <alignment horizontal="left" vertical="center"/>
    </xf>
    <xf numFmtId="0" fontId="7" fillId="7" borderId="1" applyAlignment="1" pivotButton="0" quotePrefix="0" xfId="0">
      <alignment horizontal="left" vertical="center"/>
    </xf>
    <xf numFmtId="0" fontId="11" fillId="4" borderId="1" applyAlignment="1" pivotButton="0" quotePrefix="0" xfId="0">
      <alignment horizontal="left" vertical="center" wrapText="1"/>
    </xf>
    <xf numFmtId="0" fontId="7" fillId="8" borderId="1" applyAlignment="1" pivotButton="0" quotePrefix="0" xfId="0">
      <alignment horizontal="left" vertical="center"/>
    </xf>
    <xf numFmtId="0" fontId="11" fillId="5" borderId="1" applyAlignment="1" pivotButton="0" quotePrefix="0" xfId="0">
      <alignment horizontal="left" vertical="center" wrapText="1"/>
    </xf>
    <xf numFmtId="0" fontId="7" fillId="9" borderId="1" applyAlignment="1" pivotButton="0" quotePrefix="0" xfId="0">
      <alignment horizontal="left" vertical="center"/>
    </xf>
    <xf numFmtId="0" fontId="7" fillId="10" borderId="1" applyAlignment="1" pivotButton="0" quotePrefix="0" xfId="0">
      <alignment horizontal="left" vertical="center"/>
    </xf>
    <xf numFmtId="0" fontId="7" fillId="11" borderId="1" applyAlignment="1" pivotButton="0" quotePrefix="0" xfId="0">
      <alignment horizontal="left" vertical="center"/>
    </xf>
    <xf numFmtId="0" fontId="12" fillId="0" borderId="0" applyAlignment="1" pivotButton="0" quotePrefix="0" xfId="0">
      <alignment horizontal="general" vertical="bottom"/>
    </xf>
    <xf numFmtId="0" fontId="7" fillId="12" borderId="1" applyAlignment="1" pivotButton="0" quotePrefix="0" xfId="0">
      <alignment horizontal="left" vertical="center"/>
    </xf>
    <xf numFmtId="0" fontId="13" fillId="4" borderId="1" applyAlignment="1" pivotButton="0" quotePrefix="0" xfId="0">
      <alignment horizontal="left" vertical="center" wrapText="1"/>
    </xf>
    <xf numFmtId="0" fontId="14" fillId="0" borderId="0" applyAlignment="1" pivotButton="0" quotePrefix="0" xfId="0">
      <alignment horizontal="general" vertical="bottom"/>
    </xf>
    <xf numFmtId="0" fontId="0" fillId="0" borderId="0" applyAlignment="1" pivotButton="0" quotePrefix="0" xfId="0">
      <alignment horizontal="general" vertical="bottom"/>
    </xf>
    <xf numFmtId="0" fontId="14" fillId="13" borderId="0" applyAlignment="1" pivotButton="0" quotePrefix="0" xfId="0">
      <alignment horizontal="general" vertical="bottom"/>
    </xf>
    <xf numFmtId="0" fontId="0" fillId="13" borderId="0" applyAlignment="1" pivotButton="0" quotePrefix="0" xfId="0">
      <alignment horizontal="general" vertical="bottom"/>
    </xf>
    <xf numFmtId="164" fontId="8" fillId="4" borderId="1" applyAlignment="1" pivotButton="0" quotePrefix="0" xfId="0">
      <alignment horizontal="left" vertical="center" wrapText="1"/>
    </xf>
    <xf numFmtId="164" fontId="8" fillId="5" borderId="1" applyAlignment="1" pivotButton="0" quotePrefix="0" xfId="0">
      <alignment horizontal="left" vertical="center" wrapText="1"/>
    </xf>
    <xf numFmtId="0" fontId="15"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5" fillId="4" borderId="1" applyAlignment="1" pivotButton="0" quotePrefix="0" xfId="0">
      <alignment horizontal="left" vertical="center" wrapText="1"/>
    </xf>
    <xf numFmtId="0" fontId="16" fillId="4" borderId="1" applyAlignment="1" pivotButton="0" quotePrefix="0" xfId="0">
      <alignment horizontal="left" vertical="center" wrapText="1"/>
    </xf>
    <xf numFmtId="164" fontId="16" fillId="4" borderId="1" applyAlignment="1" pivotButton="0" quotePrefix="0" xfId="0">
      <alignment horizontal="left" vertical="center" wrapText="1"/>
    </xf>
    <xf numFmtId="0" fontId="16" fillId="5" borderId="1" applyAlignment="1" pivotButton="0" quotePrefix="0" xfId="0">
      <alignment horizontal="left" vertical="center" wrapText="1"/>
    </xf>
    <xf numFmtId="164" fontId="16" fillId="5" borderId="1" applyAlignment="1" pivotButton="0" quotePrefix="0" xfId="0">
      <alignment horizontal="left" vertical="center" wrapText="1"/>
    </xf>
    <xf numFmtId="0" fontId="17" fillId="5" borderId="1" applyAlignment="1" pivotButton="0" quotePrefix="0" xfId="0">
      <alignment horizontal="left" vertical="center" wrapText="1"/>
    </xf>
    <xf numFmtId="164" fontId="17" fillId="5" borderId="1" applyAlignment="1" pivotButton="0" quotePrefix="0" xfId="0">
      <alignment horizontal="left" vertical="center" wrapText="1"/>
    </xf>
    <xf numFmtId="0" fontId="17" fillId="4" borderId="1" applyAlignment="1" pivotButton="0" quotePrefix="0" xfId="0">
      <alignment horizontal="left" vertical="center" wrapText="1"/>
    </xf>
    <xf numFmtId="164" fontId="17" fillId="4" borderId="1" applyAlignment="1" pivotButton="0" quotePrefix="0" xfId="0">
      <alignment horizontal="left" vertical="center" wrapText="1"/>
    </xf>
    <xf numFmtId="164" fontId="16" fillId="14" borderId="1" applyAlignment="1" pivotButton="0" quotePrefix="0" xfId="0">
      <alignment horizontal="left" vertical="center" wrapText="1"/>
    </xf>
    <xf numFmtId="0" fontId="16" fillId="14" borderId="1" applyAlignment="1" pivotButton="0" quotePrefix="0" xfId="0">
      <alignment horizontal="left" vertical="center" wrapText="1"/>
    </xf>
    <xf numFmtId="0" fontId="18" fillId="4" borderId="1" applyAlignment="1" pivotButton="0" quotePrefix="0" xfId="0">
      <alignment horizontal="left" vertical="center" wrapText="1"/>
    </xf>
    <xf numFmtId="0" fontId="18" fillId="5" borderId="1" applyAlignment="1" pivotButton="0" quotePrefix="0" xfId="0">
      <alignment horizontal="left" vertical="center" wrapText="1"/>
    </xf>
    <xf numFmtId="164" fontId="15" fillId="4" borderId="1" applyAlignment="1" pivotButton="0" quotePrefix="0" xfId="0">
      <alignment horizontal="left" vertical="center" wrapText="1"/>
    </xf>
    <xf numFmtId="164" fontId="15" fillId="5" borderId="1" applyAlignment="1" pivotButton="0" quotePrefix="0" xfId="0">
      <alignment horizontal="left" vertical="center" wrapText="1"/>
    </xf>
    <xf numFmtId="164" fontId="10" fillId="5" borderId="1" applyAlignment="1" pivotButton="0" quotePrefix="0" xfId="0">
      <alignment horizontal="left" vertical="center" wrapText="1"/>
    </xf>
    <xf numFmtId="164" fontId="15" fillId="13" borderId="1" applyAlignment="1" pivotButton="0" quotePrefix="0" xfId="0">
      <alignment horizontal="left" vertical="center" wrapText="1"/>
    </xf>
    <xf numFmtId="0" fontId="8" fillId="14" borderId="1" applyAlignment="1" pivotButton="0" quotePrefix="0" xfId="0">
      <alignment horizontal="left" vertical="center" wrapText="1"/>
    </xf>
    <xf numFmtId="0" fontId="19" fillId="15" borderId="0" applyAlignment="1" pivotButton="0" quotePrefix="0" xfId="0">
      <alignment horizontal="center" vertical="center"/>
    </xf>
    <xf numFmtId="0" fontId="20" fillId="14" borderId="2" applyAlignment="1" pivotButton="0" quotePrefix="0" xfId="0">
      <alignment horizontal="left" vertical="center" wrapText="1"/>
    </xf>
    <xf numFmtId="0" fontId="20" fillId="14" borderId="3" applyAlignment="1" pivotButton="0" quotePrefix="0" xfId="0">
      <alignment horizontal="left" vertical="center" wrapText="1"/>
    </xf>
    <xf numFmtId="0" fontId="21" fillId="4" borderId="2" applyAlignment="1" pivotButton="0" quotePrefix="0" xfId="0">
      <alignment horizontal="left" vertical="center" wrapText="1"/>
    </xf>
    <xf numFmtId="164" fontId="22" fillId="4" borderId="2" applyAlignment="1" pivotButton="0" quotePrefix="0" xfId="0">
      <alignment horizontal="right" vertical="center" wrapText="1"/>
    </xf>
    <xf numFmtId="0" fontId="20" fillId="4" borderId="3" applyAlignment="1" pivotButton="0" quotePrefix="0" xfId="0">
      <alignment horizontal="left" vertical="center" wrapText="1"/>
    </xf>
    <xf numFmtId="164" fontId="20" fillId="14" borderId="2" applyAlignment="1" pivotButton="0" quotePrefix="0" xfId="0">
      <alignment horizontal="right" vertical="center" wrapText="1"/>
    </xf>
    <xf numFmtId="0" fontId="20" fillId="4" borderId="2" applyAlignment="1" pivotButton="0" quotePrefix="0" xfId="0">
      <alignment horizontal="left" vertical="center" wrapText="1"/>
    </xf>
    <xf numFmtId="164" fontId="20" fillId="4" borderId="2" applyAlignment="1" pivotButton="0" quotePrefix="0" xfId="0">
      <alignment horizontal="right" vertical="center" wrapText="1"/>
    </xf>
    <xf numFmtId="0" fontId="21" fillId="14" borderId="2" applyAlignment="1" pivotButton="0" quotePrefix="0" xfId="0">
      <alignment horizontal="left" vertical="center" wrapText="1"/>
    </xf>
    <xf numFmtId="0" fontId="22" fillId="14" borderId="2" applyAlignment="1" pivotButton="0" quotePrefix="0" xfId="0">
      <alignment horizontal="left" vertical="center" wrapText="1"/>
    </xf>
    <xf numFmtId="9" fontId="11" fillId="4" borderId="1" applyAlignment="1" pivotButton="0" quotePrefix="0" xfId="0">
      <alignment horizontal="left" vertical="center" wrapText="1"/>
    </xf>
    <xf numFmtId="9" fontId="15" fillId="4" borderId="1" applyAlignment="1" pivotButton="0" quotePrefix="0" xfId="0">
      <alignment horizontal="left" vertical="center" wrapText="1"/>
    </xf>
    <xf numFmtId="0" fontId="7" fillId="16" borderId="1" applyAlignment="1" pivotButton="0" quotePrefix="0" xfId="0">
      <alignment horizontal="left" vertical="center"/>
    </xf>
    <xf numFmtId="0" fontId="22" fillId="14" borderId="1" applyAlignment="1" pivotButton="0" quotePrefix="0" xfId="0">
      <alignment horizontal="left" vertical="center" wrapText="1"/>
    </xf>
    <xf numFmtId="0" fontId="23" fillId="4" borderId="1" applyAlignment="1" pivotButton="0" quotePrefix="0" xfId="0">
      <alignment horizontal="left" vertical="center" wrapText="1"/>
    </xf>
    <xf numFmtId="0" fontId="23" fillId="5" borderId="1" applyAlignment="1" pivotButton="0" quotePrefix="0" xfId="0">
      <alignment horizontal="left" vertical="center" wrapText="1"/>
    </xf>
    <xf numFmtId="0" fontId="7" fillId="12" borderId="1" applyAlignment="1" pivotButton="0" quotePrefix="0" xfId="0">
      <alignment horizontal="general" vertical="bottom"/>
    </xf>
    <xf numFmtId="0" fontId="24" fillId="4" borderId="1" applyAlignment="1" pivotButton="0" quotePrefix="0" xfId="0">
      <alignment horizontal="left" vertical="center" wrapText="1"/>
    </xf>
    <xf numFmtId="0" fontId="24" fillId="5" borderId="1" applyAlignment="1" pivotButton="0" quotePrefix="0" xfId="0">
      <alignment horizontal="left" vertical="center" wrapText="1"/>
    </xf>
    <xf numFmtId="0" fontId="25" fillId="15" borderId="0" applyAlignment="1" pivotButton="0" quotePrefix="0" xfId="0">
      <alignment horizontal="center" vertical="center"/>
    </xf>
    <xf numFmtId="0" fontId="19" fillId="17" borderId="0" applyAlignment="1" pivotButton="0" quotePrefix="0" xfId="0">
      <alignment horizontal="center" vertical="center"/>
    </xf>
    <xf numFmtId="0" fontId="19" fillId="17" borderId="2" applyAlignment="1" pivotButton="0" quotePrefix="0" xfId="0">
      <alignment horizontal="center" vertical="center" wrapText="1"/>
    </xf>
    <xf numFmtId="0" fontId="16" fillId="18" borderId="2" applyAlignment="1" pivotButton="0" quotePrefix="0" xfId="0">
      <alignment horizontal="left" vertical="center"/>
    </xf>
    <xf numFmtId="164" fontId="16" fillId="18" borderId="2" applyAlignment="1" pivotButton="0" quotePrefix="0" xfId="0">
      <alignment horizontal="right" vertical="center"/>
    </xf>
    <xf numFmtId="0" fontId="16" fillId="4" borderId="2" applyAlignment="1" pivotButton="0" quotePrefix="0" xfId="0">
      <alignment horizontal="left" vertical="center"/>
    </xf>
    <xf numFmtId="164" fontId="16" fillId="4" borderId="2" applyAlignment="1" pivotButton="0" quotePrefix="0" xfId="0">
      <alignment horizontal="right" vertical="center"/>
    </xf>
    <xf numFmtId="0" fontId="26" fillId="18" borderId="2" applyAlignment="1" pivotButton="0" quotePrefix="0" xfId="0">
      <alignment horizontal="left" vertical="center"/>
    </xf>
    <xf numFmtId="0" fontId="27" fillId="19" borderId="2" applyAlignment="1" pivotButton="0" quotePrefix="0" xfId="0">
      <alignment horizontal="left" vertical="center"/>
    </xf>
    <xf numFmtId="164" fontId="27" fillId="19" borderId="2" applyAlignment="1" pivotButton="0" quotePrefix="0" xfId="0">
      <alignment horizontal="right" vertical="center"/>
    </xf>
    <xf numFmtId="0" fontId="6" fillId="17" borderId="0" applyAlignment="1" pivotButton="0" quotePrefix="0" xfId="0">
      <alignment horizontal="center" vertical="center"/>
    </xf>
    <xf numFmtId="0" fontId="17" fillId="20" borderId="2" applyAlignment="1" pivotButton="0" quotePrefix="0" xfId="0">
      <alignment horizontal="center" vertical="center"/>
    </xf>
    <xf numFmtId="0" fontId="28" fillId="21" borderId="0" applyAlignment="1" pivotButton="0" quotePrefix="0" xfId="0">
      <alignment horizontal="center" vertical="center"/>
    </xf>
    <xf numFmtId="0" fontId="26" fillId="21" borderId="2" applyAlignment="1" pivotButton="0" quotePrefix="0" xfId="0">
      <alignment horizontal="center" vertical="center"/>
    </xf>
    <xf numFmtId="0" fontId="29" fillId="21" borderId="3" applyAlignment="1" pivotButton="0" quotePrefix="0" xfId="0">
      <alignment horizontal="left" vertical="center" wrapText="1"/>
    </xf>
    <xf numFmtId="0" fontId="6" fillId="15" borderId="0" applyAlignment="1" pivotButton="0" quotePrefix="0" xfId="0">
      <alignment horizontal="center" vertical="center"/>
    </xf>
    <xf numFmtId="0" fontId="27" fillId="19" borderId="0" applyAlignment="1" pivotButton="0" quotePrefix="0" xfId="0">
      <alignment horizontal="center" vertical="center"/>
    </xf>
    <xf numFmtId="164" fontId="21" fillId="14" borderId="2" applyAlignment="1" pivotButton="0" quotePrefix="0" xfId="0">
      <alignment horizontal="right" vertical="center" wrapText="1"/>
    </xf>
    <xf numFmtId="164" fontId="21" fillId="4" borderId="2" applyAlignment="1" pivotButton="0" quotePrefix="0" xfId="0">
      <alignment horizontal="right" vertical="center" wrapText="1"/>
    </xf>
    <xf numFmtId="164" fontId="21" fillId="4" borderId="2" applyAlignment="1" pivotButton="0" quotePrefix="0" xfId="0">
      <alignment horizontal="center" vertical="center" wrapText="1"/>
    </xf>
    <xf numFmtId="165" fontId="20" fillId="4" borderId="2" applyAlignment="1" pivotButton="0" quotePrefix="0" xfId="0">
      <alignment horizontal="right" vertical="center" wrapText="1"/>
    </xf>
    <xf numFmtId="0" fontId="21" fillId="20" borderId="2" applyAlignment="1" pivotButton="0" quotePrefix="0" xfId="0">
      <alignment horizontal="center" vertical="center" wrapText="1"/>
    </xf>
    <xf numFmtId="0" fontId="20" fillId="18" borderId="2" applyAlignment="1" pivotButton="0" quotePrefix="0" xfId="0">
      <alignment horizontal="left" vertical="center" wrapText="1"/>
    </xf>
    <xf numFmtId="0" fontId="20" fillId="18" borderId="2" applyAlignment="1" pivotButton="0" quotePrefix="0" xfId="0">
      <alignment horizontal="center" vertical="center" wrapText="1"/>
    </xf>
    <xf numFmtId="164" fontId="20" fillId="18" borderId="2" applyAlignment="1" pivotButton="0" quotePrefix="0" xfId="0">
      <alignment horizontal="right" vertical="center" wrapText="1"/>
    </xf>
    <xf numFmtId="164" fontId="21" fillId="18" borderId="2" applyAlignment="1" pivotButton="0" quotePrefix="0" xfId="0">
      <alignment horizontal="right" vertical="center" wrapText="1"/>
    </xf>
    <xf numFmtId="0" fontId="20" fillId="4" borderId="2" applyAlignment="1" pivotButton="0" quotePrefix="0" xfId="0">
      <alignment horizontal="center" vertical="center" wrapText="1"/>
    </xf>
    <xf numFmtId="0" fontId="27" fillId="19" borderId="2" applyAlignment="1" pivotButton="0" quotePrefix="0" xfId="0">
      <alignment horizontal="left" vertical="center" wrapText="1"/>
    </xf>
    <xf numFmtId="0" fontId="0" fillId="19" borderId="2" applyAlignment="1" pivotButton="0" quotePrefix="0" xfId="0">
      <alignment horizontal="general" vertical="bottom"/>
    </xf>
    <xf numFmtId="164" fontId="27" fillId="19" borderId="2" applyAlignment="1" pivotButton="0" quotePrefix="0" xfId="0">
      <alignment horizontal="right" vertical="center" wrapText="1"/>
    </xf>
    <xf numFmtId="0" fontId="26" fillId="21" borderId="0" applyAlignment="1" pivotButton="0" quotePrefix="0" xfId="0">
      <alignment horizontal="center" vertical="center"/>
    </xf>
    <xf numFmtId="164" fontId="26" fillId="18" borderId="2" applyAlignment="1" pivotButton="0" quotePrefix="0" xfId="0">
      <alignment horizontal="right" vertical="center" wrapText="1"/>
    </xf>
    <xf numFmtId="0" fontId="30" fillId="18" borderId="2" applyAlignment="1" pivotButton="0" quotePrefix="0" xfId="0">
      <alignment horizontal="left" vertical="center" wrapText="1"/>
    </xf>
    <xf numFmtId="164" fontId="26" fillId="4" borderId="2" applyAlignment="1" pivotButton="0" quotePrefix="0" xfId="0">
      <alignment horizontal="right" vertical="center" wrapText="1"/>
    </xf>
    <xf numFmtId="0" fontId="30" fillId="4" borderId="2" applyAlignment="1" pivotButton="0" quotePrefix="0" xfId="0">
      <alignment horizontal="left" vertical="center" wrapText="1"/>
    </xf>
    <xf numFmtId="0" fontId="26" fillId="21" borderId="2" applyAlignment="1" pivotButton="0" quotePrefix="0" xfId="0">
      <alignment horizontal="left" vertical="center" wrapText="1"/>
    </xf>
    <xf numFmtId="0" fontId="0" fillId="21" borderId="2" applyAlignment="1" pivotButton="0" quotePrefix="0" xfId="0">
      <alignment horizontal="general" vertical="bottom"/>
    </xf>
    <xf numFmtId="164" fontId="26" fillId="21" borderId="2" applyAlignment="1" pivotButton="0" quotePrefix="0" xfId="0">
      <alignment horizontal="right" vertical="center" wrapText="1"/>
    </xf>
    <xf numFmtId="0" fontId="30" fillId="21" borderId="2" applyAlignment="1" pivotButton="0" quotePrefix="0" xfId="0">
      <alignment horizontal="left" vertical="center" wrapText="1"/>
    </xf>
    <xf numFmtId="0" fontId="30" fillId="21" borderId="3" applyAlignment="1" pivotButton="0" quotePrefix="0" xfId="0">
      <alignment horizontal="left" vertical="center" wrapText="1"/>
    </xf>
    <xf numFmtId="0" fontId="31" fillId="15" borderId="0" applyAlignment="1" pivotButton="0" quotePrefix="0" xfId="0">
      <alignment horizontal="center" vertical="center"/>
    </xf>
    <xf numFmtId="0" fontId="20" fillId="14" borderId="2" applyAlignment="1" pivotButton="0" quotePrefix="0" xfId="0">
      <alignment horizontal="center" vertical="center" wrapText="1"/>
    </xf>
    <xf numFmtId="0" fontId="22" fillId="14" borderId="2" applyAlignment="1" pivotButton="0" quotePrefix="0" xfId="0">
      <alignment horizontal="center" vertical="center" wrapText="1"/>
    </xf>
    <xf numFmtId="164" fontId="20" fillId="14" borderId="2" applyAlignment="1" pivotButton="0" quotePrefix="0" xfId="0">
      <alignment horizontal="right" vertical="center" wrapText="1"/>
    </xf>
    <xf numFmtId="164" fontId="21" fillId="14" borderId="2" applyAlignment="1" pivotButton="0" quotePrefix="0" xfId="0">
      <alignment horizontal="right" vertical="center" wrapText="1"/>
    </xf>
    <xf numFmtId="0" fontId="20" fillId="21" borderId="2" applyAlignment="1" pivotButton="0" quotePrefix="0" xfId="0">
      <alignment horizontal="left" vertical="center" wrapText="1"/>
    </xf>
    <xf numFmtId="0" fontId="20" fillId="21" borderId="2" applyAlignment="1" pivotButton="0" quotePrefix="0" xfId="0">
      <alignment horizontal="center" vertical="center" wrapText="1"/>
    </xf>
    <xf numFmtId="164" fontId="20" fillId="21" borderId="2" applyAlignment="1" pivotButton="0" quotePrefix="0" xfId="0">
      <alignment horizontal="right" vertical="center" wrapText="1"/>
    </xf>
    <xf numFmtId="164" fontId="20" fillId="21" borderId="2" applyAlignment="1" pivotButton="0" quotePrefix="0" xfId="0">
      <alignment horizontal="right" vertical="center" wrapText="1"/>
    </xf>
    <xf numFmtId="0" fontId="26" fillId="21" borderId="2" applyAlignment="1" pivotButton="0" quotePrefix="0" xfId="0">
      <alignment horizontal="center" vertical="center" wrapText="1"/>
    </xf>
    <xf numFmtId="0" fontId="26" fillId="19" borderId="2" applyAlignment="1" pivotButton="0" quotePrefix="0" xfId="0">
      <alignment horizontal="left" vertical="center" wrapText="1"/>
    </xf>
    <xf numFmtId="0" fontId="0" fillId="19" borderId="2" applyAlignment="1" pivotButton="0" quotePrefix="0" xfId="0">
      <alignment horizontal="general" vertical="bottom"/>
    </xf>
    <xf numFmtId="164" fontId="27" fillId="19" borderId="2" applyAlignment="1" pivotButton="0" quotePrefix="0" xfId="0">
      <alignment horizontal="right" vertical="center" wrapText="1"/>
    </xf>
    <xf numFmtId="0" fontId="22" fillId="19" borderId="2" applyAlignment="1" pivotButton="0" quotePrefix="0" xfId="0">
      <alignment horizontal="left" vertical="center" wrapText="1"/>
    </xf>
    <xf numFmtId="164" fontId="22" fillId="14" borderId="2" applyAlignment="1" pivotButton="0" quotePrefix="0" xfId="0">
      <alignment horizontal="right" vertical="center" wrapText="1"/>
    </xf>
    <xf numFmtId="0" fontId="32" fillId="14" borderId="2" applyAlignment="1" pivotButton="0" quotePrefix="0" xfId="0">
      <alignment horizontal="left" vertical="center" wrapText="1"/>
    </xf>
    <xf numFmtId="0" fontId="26" fillId="4" borderId="2" applyAlignment="1" pivotButton="0" quotePrefix="0" xfId="0">
      <alignment horizontal="center" vertical="center" wrapText="1"/>
    </xf>
    <xf numFmtId="0" fontId="32" fillId="4" borderId="2" applyAlignment="1" pivotButton="0" quotePrefix="0" xfId="0">
      <alignment horizontal="left" vertical="center" wrapText="1"/>
    </xf>
    <xf numFmtId="0" fontId="26" fillId="18" borderId="2" applyAlignment="1" pivotButton="0" quotePrefix="0" xfId="0">
      <alignment horizontal="center" vertical="center" wrapText="1"/>
    </xf>
    <xf numFmtId="0" fontId="32" fillId="18" borderId="2" applyAlignment="1" pivotButton="0" quotePrefix="0" xfId="0">
      <alignment horizontal="left" vertical="center" wrapText="1"/>
    </xf>
    <xf numFmtId="164" fontId="26" fillId="18" borderId="2" applyAlignment="1" pivotButton="0" quotePrefix="0" xfId="0">
      <alignment horizontal="right" vertical="center" wrapText="1"/>
    </xf>
    <xf numFmtId="164" fontId="22" fillId="14" borderId="2" applyAlignment="1" pivotButton="0" quotePrefix="0" xfId="0">
      <alignment horizontal="right" vertical="center" wrapText="1"/>
    </xf>
    <xf numFmtId="0" fontId="30" fillId="14" borderId="2" applyAlignment="1" pivotButton="0" quotePrefix="0" xfId="0">
      <alignment horizontal="left" vertical="center" wrapText="1"/>
    </xf>
    <xf numFmtId="164" fontId="26" fillId="4" borderId="2" applyAlignment="1" pivotButton="0" quotePrefix="0" xfId="0">
      <alignment horizontal="right" vertical="center" wrapText="1"/>
    </xf>
    <xf numFmtId="0" fontId="33" fillId="19" borderId="2" applyAlignment="1" pivotButton="0" quotePrefix="0" xfId="0">
      <alignment horizontal="left" vertical="center" wrapText="1"/>
    </xf>
    <xf numFmtId="0" fontId="22" fillId="14" borderId="3"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3" borderId="1" applyAlignment="1" pivotButton="0" quotePrefix="0" xfId="0">
      <alignment horizontal="left" vertical="center"/>
    </xf>
    <xf numFmtId="0" fontId="0" fillId="0" borderId="6" pivotButton="0" quotePrefix="0" xfId="0"/>
    <xf numFmtId="0" fontId="0" fillId="0" borderId="7" pivotButton="0" quotePrefix="0" xfId="0"/>
    <xf numFmtId="0" fontId="8" fillId="4" borderId="1" applyAlignment="1" pivotButton="0" quotePrefix="0" xfId="0">
      <alignment horizontal="center" vertical="center"/>
    </xf>
    <xf numFmtId="0" fontId="8" fillId="4"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8" fillId="5" borderId="1" applyAlignment="1" pivotButton="0" quotePrefix="0" xfId="0">
      <alignment horizontal="center" vertical="center"/>
    </xf>
    <xf numFmtId="0" fontId="8" fillId="5" borderId="1" applyAlignment="1" pivotButton="0" quotePrefix="0" xfId="0">
      <alignment horizontal="left" vertical="center" wrapText="1"/>
    </xf>
    <xf numFmtId="0" fontId="9"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22" borderId="1" applyAlignment="1" pivotButton="0" quotePrefix="0" xfId="0">
      <alignment horizontal="left" vertical="center" wrapText="1"/>
    </xf>
    <xf numFmtId="0" fontId="7" fillId="6" borderId="1" applyAlignment="1" pivotButton="0" quotePrefix="0" xfId="0">
      <alignment horizontal="left" vertical="center"/>
    </xf>
    <xf numFmtId="0" fontId="7" fillId="7" borderId="1" applyAlignment="1" pivotButton="0" quotePrefix="0" xfId="0">
      <alignment horizontal="left" vertical="center"/>
    </xf>
    <xf numFmtId="0" fontId="11" fillId="4" borderId="1" applyAlignment="1" pivotButton="0" quotePrefix="0" xfId="0">
      <alignment horizontal="left" vertical="center" wrapText="1"/>
    </xf>
    <xf numFmtId="0" fontId="7" fillId="8" borderId="1" applyAlignment="1" pivotButton="0" quotePrefix="0" xfId="0">
      <alignment horizontal="left" vertical="center"/>
    </xf>
    <xf numFmtId="0" fontId="11" fillId="5" borderId="1" applyAlignment="1" pivotButton="0" quotePrefix="0" xfId="0">
      <alignment horizontal="left" vertical="center" wrapText="1"/>
    </xf>
    <xf numFmtId="0" fontId="7" fillId="9" borderId="1" applyAlignment="1" pivotButton="0" quotePrefix="0" xfId="0">
      <alignment horizontal="left" vertical="center"/>
    </xf>
    <xf numFmtId="0" fontId="8" fillId="22" borderId="1" applyAlignment="1" pivotButton="0" quotePrefix="0" xfId="0">
      <alignment horizontal="left" vertical="center" wrapText="1"/>
    </xf>
    <xf numFmtId="0" fontId="7" fillId="10" borderId="1" applyAlignment="1" pivotButton="0" quotePrefix="0" xfId="0">
      <alignment horizontal="left" vertical="center"/>
    </xf>
    <xf numFmtId="0" fontId="7" fillId="11" borderId="1" applyAlignment="1" pivotButton="0" quotePrefix="0" xfId="0">
      <alignment horizontal="left" vertical="center"/>
    </xf>
    <xf numFmtId="0" fontId="12" fillId="0" borderId="0" applyAlignment="1" pivotButton="0" quotePrefix="0" xfId="0">
      <alignment horizontal="general" vertical="bottom"/>
    </xf>
    <xf numFmtId="0" fontId="7" fillId="12" borderId="1" applyAlignment="1" pivotButton="0" quotePrefix="0" xfId="0">
      <alignment horizontal="left" vertical="center"/>
    </xf>
    <xf numFmtId="0" fontId="13" fillId="4" borderId="1" applyAlignment="1" pivotButton="0" quotePrefix="0" xfId="0">
      <alignment horizontal="left" vertical="center" wrapText="1"/>
    </xf>
    <xf numFmtId="0" fontId="14" fillId="0" borderId="0" applyAlignment="1" pivotButton="0" quotePrefix="0" xfId="0">
      <alignment horizontal="general" vertical="bottom"/>
    </xf>
    <xf numFmtId="0" fontId="14" fillId="13" borderId="0" applyAlignment="1" pivotButton="0" quotePrefix="0" xfId="0">
      <alignment horizontal="general" vertical="bottom"/>
    </xf>
    <xf numFmtId="0" fontId="0" fillId="22" borderId="0" applyAlignment="1" pivotButton="0" quotePrefix="0" xfId="0">
      <alignment horizontal="general" vertical="bottom"/>
    </xf>
    <xf numFmtId="164" fontId="8" fillId="4" borderId="1" applyAlignment="1" pivotButton="0" quotePrefix="0" xfId="0">
      <alignment horizontal="left" vertical="center" wrapText="1"/>
    </xf>
    <xf numFmtId="164" fontId="8" fillId="5" borderId="1" applyAlignment="1" pivotButton="0" quotePrefix="0" xfId="0">
      <alignment horizontal="left" vertical="center" wrapText="1"/>
    </xf>
    <xf numFmtId="0" fontId="15"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5" fillId="4" borderId="1" applyAlignment="1" pivotButton="0" quotePrefix="0" xfId="0">
      <alignment horizontal="left" vertical="center" wrapText="1"/>
    </xf>
    <xf numFmtId="0" fontId="16" fillId="4" borderId="1" applyAlignment="1" pivotButton="0" quotePrefix="0" xfId="0">
      <alignment horizontal="left" vertical="center" wrapText="1"/>
    </xf>
    <xf numFmtId="164" fontId="16" fillId="4" borderId="1" applyAlignment="1" pivotButton="0" quotePrefix="0" xfId="0">
      <alignment horizontal="left" vertical="center" wrapText="1"/>
    </xf>
    <xf numFmtId="0" fontId="16" fillId="5" borderId="1" applyAlignment="1" pivotButton="0" quotePrefix="0" xfId="0">
      <alignment horizontal="left" vertical="center" wrapText="1"/>
    </xf>
    <xf numFmtId="164" fontId="16" fillId="5" borderId="1" applyAlignment="1" pivotButton="0" quotePrefix="0" xfId="0">
      <alignment horizontal="left" vertical="center" wrapText="1"/>
    </xf>
    <xf numFmtId="0" fontId="17" fillId="5" borderId="1" applyAlignment="1" pivotButton="0" quotePrefix="0" xfId="0">
      <alignment horizontal="left" vertical="center" wrapText="1"/>
    </xf>
    <xf numFmtId="164" fontId="17" fillId="5" borderId="1" applyAlignment="1" pivotButton="0" quotePrefix="0" xfId="0">
      <alignment horizontal="left" vertical="center" wrapText="1"/>
    </xf>
    <xf numFmtId="0" fontId="17" fillId="4" borderId="1" applyAlignment="1" pivotButton="0" quotePrefix="0" xfId="0">
      <alignment horizontal="left" vertical="center" wrapText="1"/>
    </xf>
    <xf numFmtId="164" fontId="17" fillId="4" borderId="1" applyAlignment="1" pivotButton="0" quotePrefix="0" xfId="0">
      <alignment horizontal="left" vertical="center" wrapText="1"/>
    </xf>
    <xf numFmtId="164" fontId="16" fillId="14" borderId="1" applyAlignment="1" pivotButton="0" quotePrefix="0" xfId="0">
      <alignment horizontal="left" vertical="center" wrapText="1"/>
    </xf>
    <xf numFmtId="0" fontId="16" fillId="14" borderId="1" applyAlignment="1" pivotButton="0" quotePrefix="0" xfId="0">
      <alignment horizontal="left" vertical="center" wrapText="1"/>
    </xf>
    <xf numFmtId="0" fontId="18" fillId="4" borderId="1" applyAlignment="1" pivotButton="0" quotePrefix="0" xfId="0">
      <alignment horizontal="left" vertical="center" wrapText="1"/>
    </xf>
    <xf numFmtId="0" fontId="18" fillId="5" borderId="1" applyAlignment="1" pivotButton="0" quotePrefix="0" xfId="0">
      <alignment horizontal="left" vertical="center" wrapText="1"/>
    </xf>
    <xf numFmtId="164" fontId="15" fillId="4" borderId="1" applyAlignment="1" pivotButton="0" quotePrefix="0" xfId="0">
      <alignment horizontal="left" vertical="center" wrapText="1"/>
    </xf>
    <xf numFmtId="164" fontId="15" fillId="5" borderId="1" applyAlignment="1" pivotButton="0" quotePrefix="0" xfId="0">
      <alignment horizontal="left" vertical="center" wrapText="1"/>
    </xf>
    <xf numFmtId="164" fontId="10" fillId="5" borderId="1" applyAlignment="1" pivotButton="0" quotePrefix="0" xfId="0">
      <alignment horizontal="left" vertical="center" wrapText="1"/>
    </xf>
    <xf numFmtId="164" fontId="15" fillId="13" borderId="1" applyAlignment="1" pivotButton="0" quotePrefix="0" xfId="0">
      <alignment horizontal="left" vertical="center" wrapText="1"/>
    </xf>
    <xf numFmtId="0" fontId="8" fillId="14" borderId="1" applyAlignment="1" pivotButton="0" quotePrefix="0" xfId="0">
      <alignment horizontal="left" vertical="center" wrapText="1"/>
    </xf>
    <xf numFmtId="0" fontId="19" fillId="15" borderId="0" applyAlignment="1" pivotButton="0" quotePrefix="0" xfId="0">
      <alignment horizontal="center" vertical="center"/>
    </xf>
    <xf numFmtId="0" fontId="20" fillId="14" borderId="2" applyAlignment="1" pivotButton="0" quotePrefix="0" xfId="0">
      <alignment horizontal="left" vertical="center" wrapText="1"/>
    </xf>
    <xf numFmtId="0" fontId="20" fillId="14" borderId="3" applyAlignment="1" pivotButton="0" quotePrefix="0" xfId="0">
      <alignment horizontal="left" vertical="center" wrapText="1"/>
    </xf>
    <xf numFmtId="0" fontId="0" fillId="0" borderId="9" pivotButton="0" quotePrefix="0" xfId="0"/>
    <xf numFmtId="0" fontId="21" fillId="4" borderId="2" applyAlignment="1" pivotButton="0" quotePrefix="0" xfId="0">
      <alignment horizontal="left" vertical="center" wrapText="1"/>
    </xf>
    <xf numFmtId="164" fontId="22" fillId="4" borderId="2" applyAlignment="1" pivotButton="0" quotePrefix="0" xfId="0">
      <alignment horizontal="right" vertical="center" wrapText="1"/>
    </xf>
    <xf numFmtId="0" fontId="20" fillId="4" borderId="3" applyAlignment="1" pivotButton="0" quotePrefix="0" xfId="0">
      <alignment horizontal="left" vertical="center" wrapText="1"/>
    </xf>
    <xf numFmtId="164" fontId="20" fillId="14" borderId="2" applyAlignment="1" pivotButton="0" quotePrefix="0" xfId="0">
      <alignment horizontal="right" vertical="center" wrapText="1"/>
    </xf>
    <xf numFmtId="0" fontId="20" fillId="4" borderId="2" applyAlignment="1" pivotButton="0" quotePrefix="0" xfId="0">
      <alignment horizontal="left" vertical="center" wrapText="1"/>
    </xf>
    <xf numFmtId="164" fontId="20" fillId="4" borderId="2" applyAlignment="1" pivotButton="0" quotePrefix="0" xfId="0">
      <alignment horizontal="right" vertical="center" wrapText="1"/>
    </xf>
    <xf numFmtId="0" fontId="21" fillId="14" borderId="2" applyAlignment="1" pivotButton="0" quotePrefix="0" xfId="0">
      <alignment horizontal="left" vertical="center" wrapText="1"/>
    </xf>
    <xf numFmtId="0" fontId="22" fillId="14" borderId="2" applyAlignment="1" pivotButton="0" quotePrefix="0" xfId="0">
      <alignment horizontal="left" vertical="center" wrapText="1"/>
    </xf>
    <xf numFmtId="9" fontId="11" fillId="4" borderId="1" applyAlignment="1" pivotButton="0" quotePrefix="0" xfId="0">
      <alignment horizontal="left" vertical="center" wrapText="1"/>
    </xf>
    <xf numFmtId="9" fontId="15" fillId="4" borderId="1" applyAlignment="1" pivotButton="0" quotePrefix="0" xfId="0">
      <alignment horizontal="left" vertical="center" wrapText="1"/>
    </xf>
    <xf numFmtId="0" fontId="7" fillId="16" borderId="1" applyAlignment="1" pivotButton="0" quotePrefix="0" xfId="0">
      <alignment horizontal="left" vertical="center"/>
    </xf>
    <xf numFmtId="0" fontId="22" fillId="14" borderId="1" applyAlignment="1" pivotButton="0" quotePrefix="0" xfId="0">
      <alignment horizontal="left" vertical="center" wrapText="1"/>
    </xf>
    <xf numFmtId="0" fontId="23" fillId="4" borderId="1" applyAlignment="1" pivotButton="0" quotePrefix="0" xfId="0">
      <alignment horizontal="left" vertical="center" wrapText="1"/>
    </xf>
    <xf numFmtId="0" fontId="23" fillId="5" borderId="1" applyAlignment="1" pivotButton="0" quotePrefix="0" xfId="0">
      <alignment horizontal="left" vertical="center" wrapText="1"/>
    </xf>
    <xf numFmtId="0" fontId="7" fillId="12" borderId="1" applyAlignment="1" pivotButton="0" quotePrefix="0" xfId="0">
      <alignment horizontal="general" vertical="bottom"/>
    </xf>
    <xf numFmtId="0" fontId="24" fillId="4" borderId="1" applyAlignment="1" pivotButton="0" quotePrefix="0" xfId="0">
      <alignment horizontal="left" vertical="center" wrapText="1"/>
    </xf>
    <xf numFmtId="0" fontId="24" fillId="5" borderId="1" applyAlignment="1" pivotButton="0" quotePrefix="0" xfId="0">
      <alignment horizontal="left" vertical="center" wrapText="1"/>
    </xf>
    <xf numFmtId="0" fontId="25" fillId="15" borderId="0" applyAlignment="1" pivotButton="0" quotePrefix="0" xfId="0">
      <alignment horizontal="center" vertical="center"/>
    </xf>
    <xf numFmtId="0" fontId="19" fillId="17" borderId="0" applyAlignment="1" pivotButton="0" quotePrefix="0" xfId="0">
      <alignment horizontal="center" vertical="center"/>
    </xf>
    <xf numFmtId="0" fontId="19" fillId="17" borderId="2" applyAlignment="1" pivotButton="0" quotePrefix="0" xfId="0">
      <alignment horizontal="center" vertical="center" wrapText="1"/>
    </xf>
    <xf numFmtId="0" fontId="16" fillId="18" borderId="2" applyAlignment="1" pivotButton="0" quotePrefix="0" xfId="0">
      <alignment horizontal="left" vertical="center"/>
    </xf>
    <xf numFmtId="164" fontId="16" fillId="18" borderId="2" applyAlignment="1" pivotButton="0" quotePrefix="0" xfId="0">
      <alignment horizontal="right" vertical="center"/>
    </xf>
    <xf numFmtId="0" fontId="16" fillId="4" borderId="2" applyAlignment="1" pivotButton="0" quotePrefix="0" xfId="0">
      <alignment horizontal="left" vertical="center"/>
    </xf>
    <xf numFmtId="164" fontId="16" fillId="4" borderId="2" applyAlignment="1" pivotButton="0" quotePrefix="0" xfId="0">
      <alignment horizontal="right" vertical="center"/>
    </xf>
    <xf numFmtId="0" fontId="26" fillId="18" borderId="2" applyAlignment="1" pivotButton="0" quotePrefix="0" xfId="0">
      <alignment horizontal="left" vertical="center"/>
    </xf>
    <xf numFmtId="0" fontId="27" fillId="19" borderId="2" applyAlignment="1" pivotButton="0" quotePrefix="0" xfId="0">
      <alignment horizontal="left" vertical="center"/>
    </xf>
    <xf numFmtId="164" fontId="27" fillId="19" borderId="2" applyAlignment="1" pivotButton="0" quotePrefix="0" xfId="0">
      <alignment horizontal="right" vertical="center"/>
    </xf>
    <xf numFmtId="0" fontId="6" fillId="17" borderId="0" applyAlignment="1" pivotButton="0" quotePrefix="0" xfId="0">
      <alignment horizontal="center" vertical="center"/>
    </xf>
    <xf numFmtId="0" fontId="17" fillId="20" borderId="2" applyAlignment="1" pivotButton="0" quotePrefix="0" xfId="0">
      <alignment horizontal="center" vertical="center"/>
    </xf>
    <xf numFmtId="0" fontId="28" fillId="21" borderId="0" applyAlignment="1" pivotButton="0" quotePrefix="0" xfId="0">
      <alignment horizontal="center" vertical="center"/>
    </xf>
    <xf numFmtId="0" fontId="26" fillId="21" borderId="2" applyAlignment="1" pivotButton="0" quotePrefix="0" xfId="0">
      <alignment horizontal="center" vertical="center"/>
    </xf>
    <xf numFmtId="0" fontId="29" fillId="21" borderId="3" applyAlignment="1" pivotButton="0" quotePrefix="0" xfId="0">
      <alignment horizontal="left" vertical="center" wrapText="1"/>
    </xf>
    <xf numFmtId="0" fontId="6" fillId="15" borderId="0" applyAlignment="1" pivotButton="0" quotePrefix="0" xfId="0">
      <alignment horizontal="center" vertical="center"/>
    </xf>
    <xf numFmtId="0" fontId="27" fillId="19" borderId="0" applyAlignment="1" pivotButton="0" quotePrefix="0" xfId="0">
      <alignment horizontal="center" vertical="center"/>
    </xf>
    <xf numFmtId="164" fontId="21" fillId="14" borderId="2" applyAlignment="1" pivotButton="0" quotePrefix="0" xfId="0">
      <alignment horizontal="right" vertical="center" wrapText="1"/>
    </xf>
    <xf numFmtId="164" fontId="21" fillId="4" borderId="2" applyAlignment="1" pivotButton="0" quotePrefix="0" xfId="0">
      <alignment horizontal="right" vertical="center" wrapText="1"/>
    </xf>
    <xf numFmtId="164" fontId="21" fillId="4" borderId="2" applyAlignment="1" pivotButton="0" quotePrefix="0" xfId="0">
      <alignment horizontal="center" vertical="center" wrapText="1"/>
    </xf>
    <xf numFmtId="165" fontId="20" fillId="4" borderId="2" applyAlignment="1" pivotButton="0" quotePrefix="0" xfId="0">
      <alignment horizontal="right" vertical="center" wrapText="1"/>
    </xf>
    <xf numFmtId="0" fontId="21" fillId="20" borderId="2" applyAlignment="1" pivotButton="0" quotePrefix="0" xfId="0">
      <alignment horizontal="center" vertical="center" wrapText="1"/>
    </xf>
    <xf numFmtId="0" fontId="20" fillId="18" borderId="2" applyAlignment="1" pivotButton="0" quotePrefix="0" xfId="0">
      <alignment horizontal="left" vertical="center" wrapText="1"/>
    </xf>
    <xf numFmtId="0" fontId="20" fillId="18" borderId="2" applyAlignment="1" pivotButton="0" quotePrefix="0" xfId="0">
      <alignment horizontal="center" vertical="center" wrapText="1"/>
    </xf>
    <xf numFmtId="164" fontId="20" fillId="18" borderId="2" applyAlignment="1" pivotButton="0" quotePrefix="0" xfId="0">
      <alignment horizontal="right" vertical="center" wrapText="1"/>
    </xf>
    <xf numFmtId="164" fontId="21" fillId="18" borderId="2" applyAlignment="1" pivotButton="0" quotePrefix="0" xfId="0">
      <alignment horizontal="right" vertical="center" wrapText="1"/>
    </xf>
    <xf numFmtId="0" fontId="20" fillId="4" borderId="2" applyAlignment="1" pivotButton="0" quotePrefix="0" xfId="0">
      <alignment horizontal="center" vertical="center" wrapText="1"/>
    </xf>
    <xf numFmtId="0" fontId="27" fillId="19" borderId="2" applyAlignment="1" pivotButton="0" quotePrefix="0" xfId="0">
      <alignment horizontal="left" vertical="center" wrapText="1"/>
    </xf>
    <xf numFmtId="0" fontId="0" fillId="19" borderId="2" applyAlignment="1" pivotButton="0" quotePrefix="0" xfId="0">
      <alignment horizontal="general" vertical="bottom"/>
    </xf>
    <xf numFmtId="164" fontId="27" fillId="19" borderId="2" applyAlignment="1" pivotButton="0" quotePrefix="0" xfId="0">
      <alignment horizontal="right" vertical="center" wrapText="1"/>
    </xf>
    <xf numFmtId="0" fontId="26" fillId="21" borderId="0" applyAlignment="1" pivotButton="0" quotePrefix="0" xfId="0">
      <alignment horizontal="center" vertical="center"/>
    </xf>
    <xf numFmtId="164" fontId="26" fillId="18" borderId="2" applyAlignment="1" pivotButton="0" quotePrefix="0" xfId="0">
      <alignment horizontal="right" vertical="center" wrapText="1"/>
    </xf>
    <xf numFmtId="0" fontId="30" fillId="18" borderId="2" applyAlignment="1" pivotButton="0" quotePrefix="0" xfId="0">
      <alignment horizontal="left" vertical="center" wrapText="1"/>
    </xf>
    <xf numFmtId="164" fontId="26" fillId="4" borderId="2" applyAlignment="1" pivotButton="0" quotePrefix="0" xfId="0">
      <alignment horizontal="right" vertical="center" wrapText="1"/>
    </xf>
    <xf numFmtId="0" fontId="30" fillId="4" borderId="2" applyAlignment="1" pivotButton="0" quotePrefix="0" xfId="0">
      <alignment horizontal="left" vertical="center" wrapText="1"/>
    </xf>
    <xf numFmtId="0" fontId="26" fillId="21" borderId="2" applyAlignment="1" pivotButton="0" quotePrefix="0" xfId="0">
      <alignment horizontal="left" vertical="center" wrapText="1"/>
    </xf>
    <xf numFmtId="0" fontId="0" fillId="21" borderId="2" applyAlignment="1" pivotButton="0" quotePrefix="0" xfId="0">
      <alignment horizontal="general" vertical="bottom"/>
    </xf>
    <xf numFmtId="164" fontId="26" fillId="21" borderId="2" applyAlignment="1" pivotButton="0" quotePrefix="0" xfId="0">
      <alignment horizontal="right" vertical="center" wrapText="1"/>
    </xf>
    <xf numFmtId="0" fontId="30" fillId="21" borderId="2" applyAlignment="1" pivotButton="0" quotePrefix="0" xfId="0">
      <alignment horizontal="left" vertical="center" wrapText="1"/>
    </xf>
    <xf numFmtId="0" fontId="30" fillId="21" borderId="3" applyAlignment="1" pivotButton="0" quotePrefix="0" xfId="0">
      <alignment horizontal="left" vertical="center" wrapText="1"/>
    </xf>
    <xf numFmtId="0" fontId="31" fillId="15" borderId="0" applyAlignment="1" pivotButton="0" quotePrefix="0" xfId="0">
      <alignment horizontal="center" vertical="center"/>
    </xf>
    <xf numFmtId="0" fontId="20" fillId="14" borderId="2" applyAlignment="1" pivotButton="0" quotePrefix="0" xfId="0">
      <alignment horizontal="center" vertical="center" wrapText="1"/>
    </xf>
    <xf numFmtId="0" fontId="22" fillId="14" borderId="2" applyAlignment="1" pivotButton="0" quotePrefix="0" xfId="0">
      <alignment horizontal="center" vertical="center" wrapText="1"/>
    </xf>
    <xf numFmtId="0" fontId="34" fillId="22" borderId="12" applyAlignment="1" pivotButton="0" quotePrefix="0" xfId="0">
      <alignment horizontal="left" vertical="center" wrapText="1"/>
    </xf>
    <xf numFmtId="0" fontId="35" fillId="22" borderId="12" applyAlignment="1" pivotButton="0" quotePrefix="0" xfId="0">
      <alignment horizontal="center" vertical="center" wrapText="1"/>
    </xf>
    <xf numFmtId="166" fontId="35" fillId="22" borderId="12" applyAlignment="1" pivotButton="0" quotePrefix="0" xfId="0">
      <alignment horizontal="right" vertical="center" wrapText="1"/>
    </xf>
    <xf numFmtId="166" fontId="34" fillId="22" borderId="12" applyAlignment="1" pivotButton="0" quotePrefix="0" xfId="0">
      <alignment horizontal="right" vertical="center" wrapText="1"/>
    </xf>
    <xf numFmtId="0" fontId="36" fillId="22" borderId="12" applyAlignment="1" pivotButton="0" quotePrefix="0" xfId="0">
      <alignment horizontal="center" vertical="center" wrapText="1"/>
    </xf>
    <xf numFmtId="0" fontId="20" fillId="21" borderId="2" applyAlignment="1" pivotButton="0" quotePrefix="0" xfId="0">
      <alignment horizontal="left" vertical="center" wrapText="1"/>
    </xf>
    <xf numFmtId="0" fontId="20" fillId="21" borderId="2" applyAlignment="1" pivotButton="0" quotePrefix="0" xfId="0">
      <alignment horizontal="center" vertical="center" wrapText="1"/>
    </xf>
    <xf numFmtId="166" fontId="35" fillId="23" borderId="12" applyAlignment="1" pivotButton="0" quotePrefix="0" xfId="0">
      <alignment horizontal="right" vertical="center" wrapText="1"/>
    </xf>
    <xf numFmtId="164" fontId="20" fillId="21" borderId="2" applyAlignment="1" pivotButton="0" quotePrefix="0" xfId="0">
      <alignment horizontal="right" vertical="center" wrapText="1"/>
    </xf>
    <xf numFmtId="0" fontId="26" fillId="21" borderId="2" applyAlignment="1" pivotButton="0" quotePrefix="0" xfId="0">
      <alignment horizontal="center" vertical="center" wrapText="1"/>
    </xf>
    <xf numFmtId="0" fontId="26" fillId="19" borderId="2" applyAlignment="1" pivotButton="0" quotePrefix="0" xfId="0">
      <alignment horizontal="left" vertical="center" wrapText="1"/>
    </xf>
    <xf numFmtId="0" fontId="37" fillId="24" borderId="12" applyAlignment="1" pivotButton="0" quotePrefix="0" xfId="0">
      <alignment horizontal="left" vertical="center" wrapText="1"/>
    </xf>
    <xf numFmtId="166" fontId="37" fillId="24" borderId="12" applyAlignment="1" pivotButton="0" quotePrefix="0" xfId="0">
      <alignment horizontal="right" vertical="center" wrapText="1"/>
    </xf>
    <xf numFmtId="0" fontId="36" fillId="24" borderId="12" applyAlignment="1" pivotButton="0" quotePrefix="0" xfId="0">
      <alignment horizontal="left" vertical="center" wrapText="1"/>
    </xf>
    <xf numFmtId="164" fontId="22" fillId="14" borderId="2" applyAlignment="1" pivotButton="0" quotePrefix="0" xfId="0">
      <alignment horizontal="right" vertical="center" wrapText="1"/>
    </xf>
    <xf numFmtId="0" fontId="32" fillId="14" borderId="2" applyAlignment="1" pivotButton="0" quotePrefix="0" xfId="0">
      <alignment horizontal="left" vertical="center" wrapText="1"/>
    </xf>
    <xf numFmtId="0" fontId="26" fillId="4" borderId="2" applyAlignment="1" pivotButton="0" quotePrefix="0" xfId="0">
      <alignment horizontal="center" vertical="center" wrapText="1"/>
    </xf>
    <xf numFmtId="0" fontId="32" fillId="4" borderId="2" applyAlignment="1" pivotButton="0" quotePrefix="0" xfId="0">
      <alignment horizontal="left" vertical="center" wrapText="1"/>
    </xf>
    <xf numFmtId="0" fontId="26" fillId="18" borderId="2" applyAlignment="1" pivotButton="0" quotePrefix="0" xfId="0">
      <alignment horizontal="center" vertical="center" wrapText="1"/>
    </xf>
    <xf numFmtId="0" fontId="32" fillId="18" borderId="2" applyAlignment="1" pivotButton="0" quotePrefix="0" xfId="0">
      <alignment horizontal="left" vertical="center" wrapText="1"/>
    </xf>
    <xf numFmtId="0" fontId="30" fillId="14" borderId="2" applyAlignment="1" pivotButton="0" quotePrefix="0" xfId="0">
      <alignment horizontal="left" vertical="center" wrapText="1"/>
    </xf>
    <xf numFmtId="0" fontId="33" fillId="19" borderId="2" applyAlignment="1" pivotButton="0" quotePrefix="0" xfId="0">
      <alignment horizontal="left" vertical="center" wrapText="1"/>
    </xf>
    <xf numFmtId="0" fontId="0" fillId="0" borderId="11" pivotButton="0" quotePrefix="0" xfId="0"/>
    <xf numFmtId="0" fontId="22" fillId="14" borderId="3" applyAlignment="1" pivotButton="0" quotePrefix="0" xfId="0">
      <alignment horizontal="left" vertical="center" wrapText="1"/>
    </xf>
    <xf numFmtId="0" fontId="38" fillId="25" borderId="12" applyAlignment="1" pivotButton="0" quotePrefix="0" xfId="0">
      <alignment horizontal="center" vertical="center"/>
    </xf>
    <xf numFmtId="0" fontId="35" fillId="26" borderId="12" applyAlignment="1" pivotButton="0" quotePrefix="0" xfId="0">
      <alignment horizontal="center" vertical="center" wrapText="1"/>
    </xf>
    <xf numFmtId="0" fontId="35" fillId="26" borderId="12" applyAlignment="1" pivotButton="0" quotePrefix="0" xfId="0">
      <alignment horizontal="left" vertical="center" wrapText="1"/>
    </xf>
    <xf numFmtId="166" fontId="39" fillId="26" borderId="12" applyAlignment="1" pivotButton="0" quotePrefix="0" xfId="0">
      <alignment horizontal="right" vertical="center" wrapText="1"/>
    </xf>
    <xf numFmtId="0" fontId="39" fillId="26" borderId="12" applyAlignment="1" pivotButton="0" quotePrefix="0" xfId="0">
      <alignment horizontal="center" vertical="center" wrapText="1"/>
    </xf>
    <xf numFmtId="0" fontId="40" fillId="26" borderId="12" applyAlignment="1" pivotButton="0" quotePrefix="0" xfId="0">
      <alignment horizontal="left" vertical="center" wrapText="1"/>
    </xf>
    <xf numFmtId="0" fontId="35" fillId="22" borderId="12" applyAlignment="1" pivotButton="0" quotePrefix="0" xfId="0">
      <alignment horizontal="left" vertical="center" wrapText="1"/>
    </xf>
    <xf numFmtId="166" fontId="36" fillId="22" borderId="12" applyAlignment="1" pivotButton="0" quotePrefix="0" xfId="0">
      <alignment horizontal="right" vertical="center" wrapText="1"/>
    </xf>
    <xf numFmtId="0" fontId="40" fillId="22" borderId="12" applyAlignment="1" pivotButton="0" quotePrefix="0" xfId="0">
      <alignment horizontal="left" vertical="center" wrapText="1"/>
    </xf>
    <xf numFmtId="0" fontId="35" fillId="27" borderId="12" applyAlignment="1" pivotButton="0" quotePrefix="0" xfId="0">
      <alignment horizontal="center" vertical="center" wrapText="1"/>
    </xf>
    <xf numFmtId="0" fontId="35" fillId="27" borderId="12" applyAlignment="1" pivotButton="0" quotePrefix="0" xfId="0">
      <alignment horizontal="left" vertical="center" wrapText="1"/>
    </xf>
    <xf numFmtId="166" fontId="39" fillId="27" borderId="12" applyAlignment="1" pivotButton="0" quotePrefix="0" xfId="0">
      <alignment horizontal="right" vertical="center" wrapText="1"/>
    </xf>
    <xf numFmtId="0" fontId="39" fillId="27" borderId="12" applyAlignment="1" pivotButton="0" quotePrefix="0" xfId="0">
      <alignment horizontal="center" vertical="center" wrapText="1"/>
    </xf>
    <xf numFmtId="0" fontId="40" fillId="27" borderId="12" applyAlignment="1" pivotButton="0" quotePrefix="0" xfId="0">
      <alignment horizontal="left" vertical="center" wrapText="1"/>
    </xf>
    <xf numFmtId="0" fontId="36" fillId="22" borderId="12" applyAlignment="1" pivotButton="0" quotePrefix="0" xfId="0">
      <alignment horizontal="left" vertical="center" wrapText="1"/>
    </xf>
    <xf numFmtId="0" fontId="41" fillId="25" borderId="12" applyAlignment="1" pivotButton="0" quotePrefix="0" xfId="0">
      <alignment horizontal="center" vertical="center"/>
    </xf>
    <xf numFmtId="0" fontId="42" fillId="27" borderId="12" applyAlignment="1" pivotButton="0" quotePrefix="0" xfId="0">
      <alignment horizontal="left" vertical="center" wrapText="1"/>
    </xf>
    <xf numFmtId="0" fontId="43" fillId="26" borderId="12" applyAlignment="1" pivotButton="0" quotePrefix="0" xfId="0">
      <alignment horizontal="center" vertical="center" wrapText="1"/>
    </xf>
    <xf numFmtId="0" fontId="43" fillId="26" borderId="12" applyAlignment="1" pivotButton="0" quotePrefix="0" xfId="0">
      <alignment horizontal="left" vertical="center"/>
    </xf>
    <xf numFmtId="166" fontId="36" fillId="27" borderId="12" applyAlignment="1" pivotButton="0" quotePrefix="0" xfId="0">
      <alignment horizontal="right" vertical="center" wrapText="1"/>
    </xf>
    <xf numFmtId="0" fontId="35" fillId="23" borderId="12" applyAlignment="1" pivotButton="0" quotePrefix="0" xfId="0">
      <alignment horizontal="left" vertical="center" wrapText="1"/>
    </xf>
    <xf numFmtId="0" fontId="37" fillId="24" borderId="12" applyAlignment="1" pivotButton="0" quotePrefix="0" xfId="0">
      <alignment horizontal="right" vertical="center" wrapText="1"/>
    </xf>
    <xf numFmtId="0" fontId="44" fillId="24" borderId="12" applyAlignment="1" pivotButton="0" quotePrefix="0" xfId="0">
      <alignment horizontal="left" vertical="center" wrapText="1"/>
    </xf>
    <xf numFmtId="0" fontId="35" fillId="27" borderId="12" applyAlignment="1" pivotButton="0" quotePrefix="0" xfId="0">
      <alignment horizontal="right" vertical="center" wrapText="1"/>
    </xf>
    <xf numFmtId="0" fontId="43" fillId="26" borderId="12" applyAlignment="1" pivotButton="0" quotePrefix="0" xfId="0">
      <alignment horizontal="center" vertical="center"/>
    </xf>
    <xf numFmtId="0" fontId="34" fillId="24" borderId="12" applyAlignment="1" pivotButton="0" quotePrefix="0" xfId="0">
      <alignment horizontal="left" vertical="center" wrapText="1"/>
    </xf>
    <xf numFmtId="0" fontId="40" fillId="24" borderId="12" applyAlignment="1" pivotButton="0" quotePrefix="0" xfId="0">
      <alignment horizontal="left" vertical="center" wrapText="1"/>
    </xf>
    <xf numFmtId="166" fontId="36" fillId="24" borderId="12" applyAlignment="1" pivotButton="0" quotePrefix="0" xfId="0">
      <alignment horizontal="right" vertical="center" wrapText="1"/>
    </xf>
    <xf numFmtId="0" fontId="35" fillId="24" borderId="12" applyAlignment="1" pivotButton="0" quotePrefix="0" xfId="0">
      <alignment horizontal="center" vertical="center" wrapText="1"/>
    </xf>
    <xf numFmtId="0" fontId="34" fillId="27" borderId="12" applyAlignment="1" pivotButton="0" quotePrefix="0" xfId="0">
      <alignment horizontal="left" vertical="center" wrapText="1"/>
    </xf>
    <xf numFmtId="0" fontId="37" fillId="23" borderId="12" applyAlignment="1" pivotButton="0" quotePrefix="0" xfId="0">
      <alignment horizontal="left" vertical="center"/>
    </xf>
    <xf numFmtId="0" fontId="34" fillId="23" borderId="12" applyAlignment="1" pivotButton="0" quotePrefix="0" xfId="0">
      <alignment horizontal="center" vertical="center" wrapText="1"/>
    </xf>
    <xf numFmtId="0" fontId="34" fillId="23" borderId="12" applyAlignment="1" pivotButton="0" quotePrefix="0" xfId="0">
      <alignment horizontal="left" vertical="center" wrapText="1"/>
    </xf>
    <xf numFmtId="0" fontId="34" fillId="23" borderId="12" applyAlignment="1" pivotButton="0" quotePrefix="0" xfId="0">
      <alignment horizontal="right" vertical="center" wrapText="1"/>
    </xf>
    <xf numFmtId="166" fontId="45" fillId="27" borderId="12" applyAlignment="1" pivotButton="0" quotePrefix="0" xfId="0">
      <alignment horizontal="right" vertical="center" wrapText="1"/>
    </xf>
    <xf numFmtId="0" fontId="45" fillId="27" borderId="12" applyAlignment="1" pivotButton="0" quotePrefix="0" xfId="0">
      <alignment horizontal="center" vertical="center" wrapText="1"/>
    </xf>
    <xf numFmtId="0" fontId="37" fillId="23" borderId="12" applyAlignment="1" pivotButton="0" quotePrefix="0" xfId="0">
      <alignment horizontal="left" vertical="center" wrapText="1"/>
    </xf>
    <xf numFmtId="166" fontId="39" fillId="23" borderId="12" applyAlignment="1" pivotButton="0" quotePrefix="0" xfId="0">
      <alignment horizontal="right" vertical="center" wrapText="1"/>
    </xf>
    <xf numFmtId="0" fontId="46" fillId="22" borderId="12" applyAlignment="1" pivotButton="0" quotePrefix="0" xfId="0">
      <alignment horizontal="left" vertical="center" wrapText="1"/>
    </xf>
    <xf numFmtId="166" fontId="43" fillId="26" borderId="12" applyAlignment="1" pivotButton="0" quotePrefix="0" xfId="0">
      <alignment horizontal="right" vertical="center" wrapText="1"/>
    </xf>
    <xf numFmtId="166" fontId="43" fillId="27" borderId="12" applyAlignment="1" pivotButton="0" quotePrefix="0" xfId="0">
      <alignment horizontal="right" vertical="center" wrapText="1"/>
    </xf>
    <xf numFmtId="0" fontId="43" fillId="27" borderId="1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2E7D32"/>
      <rgbColor rgb="FF000080"/>
      <rgbColor rgb="FF595959"/>
      <rgbColor rgb="FF800080"/>
      <rgbColor rgb="FF008080"/>
      <rgbColor rgb="FFC8E6C9"/>
      <rgbColor rgb="FF607D8B"/>
      <rgbColor rgb="FFF3E5F5"/>
      <rgbColor rgb="FF9C27B0"/>
      <rgbColor rgb="FFFFFDE7"/>
      <rgbColor rgb="FFE0F7FA"/>
      <rgbColor rgb="FF660066"/>
      <rgbColor rgb="FFF5F5F5"/>
      <rgbColor rgb="FF1565C0"/>
      <rgbColor rgb="FFD6DCE4"/>
      <rgbColor rgb="FF000080"/>
      <rgbColor rgb="FFFF00FF"/>
      <rgbColor rgb="FFFBE9E7"/>
      <rgbColor rgb="FF00FFFF"/>
      <rgbColor rgb="FF800080"/>
      <rgbColor rgb="FF800000"/>
      <rgbColor rgb="FF008080"/>
      <rgbColor rgb="FF0000FF"/>
      <rgbColor rgb="FF00BCD4"/>
      <rgbColor rgb="FFE3F2FD"/>
      <rgbColor rgb="FFE2EFDA"/>
      <rgbColor rgb="FFFFF3E0"/>
      <rgbColor rgb="FFD9E1F2"/>
      <rgbColor rgb="FFFFE0CC"/>
      <rgbColor rgb="FFE0E0E0"/>
      <rgbColor rgb="FFFFD966"/>
      <rgbColor rgb="FF2E75B6"/>
      <rgbColor rgb="FF33CCCC"/>
      <rgbColor rgb="FF99CC00"/>
      <rgbColor rgb="FFFFEBEE"/>
      <rgbColor rgb="FFFF9800"/>
      <rgbColor rgb="FFE65100"/>
      <rgbColor rgb="FF666666"/>
      <rgbColor rgb="FFE8F5E9"/>
      <rgbColor rgb="FF1F3864"/>
      <rgbColor rgb="FF4CAF50"/>
      <rgbColor rgb="FF375623"/>
      <rgbColor rgb="FF1A1A1A"/>
      <rgbColor rgb="FF7B3F00"/>
      <rgbColor rgb="FFC62828"/>
      <rgbColor rgb="FF2E5090"/>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4CAF50"/>
    <outlinePr summaryBelow="1" summaryRight="1"/>
    <pageSetUpPr fitToPage="0"/>
  </sheetPr>
  <dimension ref="A1:I137"/>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37" min="1" max="1"/>
    <col width="15" customWidth="1" style="137" min="2" max="2"/>
    <col width="22" customWidth="1" style="137" min="3" max="3"/>
    <col width="42" customWidth="1" style="137" min="4" max="4"/>
    <col width="38" customWidth="1" style="137" min="5" max="5"/>
    <col width="34" customWidth="1" style="137" min="6" max="6"/>
    <col width="12" customWidth="1" style="137" min="7" max="7"/>
    <col width="34" customWidth="1" style="137" min="8" max="8"/>
    <col width="36" customWidth="1" style="137" min="9" max="9"/>
  </cols>
  <sheetData>
    <row r="1" ht="31.5" customHeight="1" s="138">
      <c r="A1" s="139" t="inlineStr">
        <is>
          <t>2025 CPA Master Tax Checklist</t>
        </is>
      </c>
    </row>
    <row r="2" ht="19.5" customHeight="1" s="138">
      <c r="A2" s="140" t="inlineStr">
        <is>
          <t>Joe &amp; Aubrey Mahlow | ASAP Credit Repair (S-Corp) | Texas | Upload to Google Sheets &gt; Col A &gt; Insert &gt; Checkbox | Paste Drive links in Col H</t>
        </is>
      </c>
    </row>
    <row r="4" ht="15" customHeight="1" s="138">
      <c r="A4" s="141" t="inlineStr">
        <is>
          <t>Done</t>
        </is>
      </c>
      <c r="B4" s="141" t="inlineStr">
        <is>
          <t>Category</t>
        </is>
      </c>
      <c r="C4" s="141" t="inlineStr">
        <is>
          <t>Entity / Property</t>
        </is>
      </c>
      <c r="D4" s="141" t="inlineStr">
        <is>
          <t>Document Needed</t>
        </is>
      </c>
      <c r="E4" s="141" t="inlineStr">
        <is>
          <t>Where To Get It</t>
        </is>
      </c>
      <c r="F4" s="141" t="inlineStr">
        <is>
          <t>Save File As</t>
        </is>
      </c>
      <c r="G4" s="141" t="inlineStr">
        <is>
          <t>Date Sent</t>
        </is>
      </c>
      <c r="H4" s="141" t="inlineStr">
        <is>
          <t>Google Drive Link</t>
        </is>
      </c>
      <c r="I4" s="141" t="inlineStr">
        <is>
          <t>Notes</t>
        </is>
      </c>
    </row>
    <row r="5" ht="24" customHeight="1" s="138">
      <c r="A5" s="142" t="inlineStr">
        <is>
          <t>PERSONAL - PRIMARY RESIDENCE</t>
        </is>
      </c>
      <c r="B5" s="143" t="n"/>
      <c r="C5" s="143" t="n"/>
      <c r="D5" s="143" t="n"/>
      <c r="E5" s="143" t="n"/>
      <c r="F5" s="143" t="n"/>
      <c r="G5" s="143" t="n"/>
      <c r="H5" s="143" t="n"/>
      <c r="I5" s="144" t="n"/>
    </row>
    <row r="6" ht="24" customHeight="1" s="138">
      <c r="A6" s="145">
        <f>FALSE()</f>
        <v/>
      </c>
      <c r="B6" s="146" t="inlineStr">
        <is>
          <t>Personal</t>
        </is>
      </c>
      <c r="C6" s="146" t="inlineStr">
        <is>
          <t>Primary Home</t>
        </is>
      </c>
      <c r="D6" s="146" t="inlineStr">
        <is>
          <t>Form 1098 (Mortgage Interest)</t>
        </is>
      </c>
      <c r="E6" s="146" t="inlineStr">
        <is>
          <t>Mortgage Lender Portal</t>
        </is>
      </c>
      <c r="F6" s="146" t="inlineStr">
        <is>
          <t>2025_PrimaryHome_1098.pdf</t>
        </is>
      </c>
      <c r="G6" s="146" t="n"/>
      <c r="H6" s="147" t="n"/>
      <c r="I6" s="148" t="inlineStr">
        <is>
          <t>HAVE - PHH Mortgage, $35,905.92 interest</t>
        </is>
      </c>
    </row>
    <row r="7" ht="24" customHeight="1" s="138">
      <c r="A7" s="149">
        <f>FALSE()</f>
        <v/>
      </c>
      <c r="B7" s="150" t="inlineStr">
        <is>
          <t>Personal</t>
        </is>
      </c>
      <c r="C7" s="150" t="inlineStr">
        <is>
          <t>Primary Home</t>
        </is>
      </c>
      <c r="D7" s="150" t="inlineStr">
        <is>
          <t>Property Tax Statement</t>
        </is>
      </c>
      <c r="E7" s="150" t="inlineStr">
        <is>
          <t>County Tax Office Website</t>
        </is>
      </c>
      <c r="F7" s="150" t="inlineStr">
        <is>
          <t>2025_PrimaryHome_PropertyTax.pdf</t>
        </is>
      </c>
      <c r="G7" s="150" t="n"/>
      <c r="H7" s="151" t="n"/>
      <c r="I7" s="152" t="inlineStr">
        <is>
          <t>HAVE - Weld County $4,755.07 (from escrow)</t>
        </is>
      </c>
    </row>
    <row r="8" ht="24" customHeight="1" s="138">
      <c r="A8" s="145">
        <f>FALSE()</f>
        <v/>
      </c>
      <c r="B8" s="146" t="inlineStr">
        <is>
          <t>Personal</t>
        </is>
      </c>
      <c r="C8" s="146" t="inlineStr">
        <is>
          <t>Primary Home</t>
        </is>
      </c>
      <c r="D8" s="146" t="inlineStr">
        <is>
          <t>Homeowners Insurance Declaration</t>
        </is>
      </c>
      <c r="E8" s="146" t="inlineStr">
        <is>
          <t>Insurance Provider Portal</t>
        </is>
      </c>
      <c r="F8" s="146" t="inlineStr">
        <is>
          <t>2025_PrimaryHome_Insurance.pdf</t>
        </is>
      </c>
      <c r="G8" s="146" t="n"/>
      <c r="H8" s="147" t="n"/>
      <c r="I8" s="148" t="inlineStr">
        <is>
          <t>HAVE - $1,723/yr Millennial Specialty (from PHH)</t>
        </is>
      </c>
    </row>
    <row r="9" ht="24" customHeight="1" s="138">
      <c r="A9" s="142" t="inlineStr">
        <is>
          <t>STUDENT LOANS - AUBREY</t>
        </is>
      </c>
      <c r="B9" s="143" t="n"/>
      <c r="C9" s="143" t="n"/>
      <c r="D9" s="143" t="n"/>
      <c r="E9" s="143" t="n"/>
      <c r="F9" s="143" t="n"/>
      <c r="G9" s="143" t="n"/>
      <c r="H9" s="143" t="n"/>
      <c r="I9" s="144" t="n"/>
    </row>
    <row r="10" ht="24" customHeight="1" s="138">
      <c r="A10" s="145">
        <f>FALSE()</f>
        <v/>
      </c>
      <c r="B10" s="146" t="inlineStr">
        <is>
          <t>Personal</t>
        </is>
      </c>
      <c r="C10" s="146" t="inlineStr">
        <is>
          <t>Aubrey Student Loans</t>
        </is>
      </c>
      <c r="D10" s="146" t="inlineStr">
        <is>
          <t>Form 1098-E (Student Loan Interest)</t>
        </is>
      </c>
      <c r="E10" s="146" t="inlineStr">
        <is>
          <t>Loan Servicer Portal</t>
        </is>
      </c>
      <c r="F10" s="146" t="inlineStr">
        <is>
          <t>2025_Aubrey_1098E.pdf</t>
        </is>
      </c>
      <c r="G10" s="146" t="n"/>
      <c r="H10" s="147" t="n"/>
      <c r="I10" s="148" t="inlineStr">
        <is>
          <t>HAVE - $3,670.20 student loan interest (Aubrey L Fearn)</t>
        </is>
      </c>
    </row>
    <row r="11" ht="24" customHeight="1" s="138">
      <c r="A11" s="142" t="inlineStr">
        <is>
          <t>JOE W-2 INCOME (S-CORP SALARY $8K/MO)</t>
        </is>
      </c>
      <c r="B11" s="143" t="n"/>
      <c r="C11" s="143" t="n"/>
      <c r="D11" s="143" t="n"/>
      <c r="E11" s="143" t="n"/>
      <c r="F11" s="143" t="n"/>
      <c r="G11" s="143" t="n"/>
      <c r="H11" s="143" t="n"/>
      <c r="I11" s="144" t="n"/>
    </row>
    <row r="12" ht="24" customHeight="1" s="138">
      <c r="A12" s="145">
        <f>FALSE()</f>
        <v/>
      </c>
      <c r="B12" s="146" t="inlineStr">
        <is>
          <t>Personal</t>
        </is>
      </c>
      <c r="C12" s="146" t="inlineStr">
        <is>
          <t>Joe W-2</t>
        </is>
      </c>
      <c r="D12" s="146" t="inlineStr">
        <is>
          <t>W-2 from ASAP Credit Repair</t>
        </is>
      </c>
      <c r="E12" s="146" t="inlineStr">
        <is>
          <t>Paychex &gt; Tax Documents</t>
        </is>
      </c>
      <c r="F12" s="146" t="inlineStr">
        <is>
          <t>2025_Joe_W2.pdf</t>
        </is>
      </c>
      <c r="G12" s="146" t="n"/>
      <c r="H12" s="147" t="n"/>
      <c r="I12" s="153" t="inlineStr">
        <is>
          <t>RESOLVED — Paychex PEO files W-3/940/941 directly. CPA verify via IRS transcript.</t>
        </is>
      </c>
    </row>
    <row r="13" ht="24" customHeight="1" s="138">
      <c r="A13" s="154" t="inlineStr">
        <is>
          <t>RENTAL - CYPRESS HOME (Personal Name)</t>
        </is>
      </c>
      <c r="B13" s="143" t="n"/>
      <c r="C13" s="143" t="n"/>
      <c r="D13" s="143" t="n"/>
      <c r="E13" s="143" t="n"/>
      <c r="F13" s="143" t="n"/>
      <c r="G13" s="143" t="n"/>
      <c r="H13" s="143" t="n"/>
      <c r="I13" s="144" t="n"/>
    </row>
    <row r="14" ht="24" customHeight="1" s="138">
      <c r="A14" s="145">
        <f>FALSE()</f>
        <v/>
      </c>
      <c r="B14" s="146" t="inlineStr">
        <is>
          <t>Rental</t>
        </is>
      </c>
      <c r="C14" s="146" t="inlineStr">
        <is>
          <t>Cypress Home</t>
        </is>
      </c>
      <c r="D14" s="146" t="inlineStr">
        <is>
          <t>Form 1098 (Mortgage Interest)</t>
        </is>
      </c>
      <c r="E14" s="146" t="inlineStr">
        <is>
          <t>Mortgage Lender Portal</t>
        </is>
      </c>
      <c r="F14" s="146" t="inlineStr">
        <is>
          <t>2025_Cypress_1098.pdf</t>
        </is>
      </c>
      <c r="G14" s="146" t="n"/>
      <c r="H14" s="147" t="n"/>
      <c r="I14" s="148" t="inlineStr">
        <is>
          <t>HAVE - TDECU $7,525.96 int + $4,416.16 tax</t>
        </is>
      </c>
    </row>
    <row r="15" ht="24" customHeight="1" s="138">
      <c r="A15" s="149">
        <f>FALSE()</f>
        <v/>
      </c>
      <c r="B15" s="150" t="inlineStr">
        <is>
          <t>Rental</t>
        </is>
      </c>
      <c r="C15" s="150" t="inlineStr">
        <is>
          <t>Cypress Home</t>
        </is>
      </c>
      <c r="D15" s="150" t="inlineStr">
        <is>
          <t>Property Tax Statement</t>
        </is>
      </c>
      <c r="E15" s="150" t="inlineStr">
        <is>
          <t>County Tax Office</t>
        </is>
      </c>
      <c r="F15" s="150" t="inlineStr">
        <is>
          <t>2025_Cypress_PropertyTax.pdf</t>
        </is>
      </c>
      <c r="G15" s="150" t="n"/>
      <c r="H15" s="151" t="n"/>
      <c r="I15" s="152" t="inlineStr">
        <is>
          <t>HAVE - $4,416.16 (from 1098 Box 10)</t>
        </is>
      </c>
    </row>
    <row r="16" ht="24" customHeight="1" s="138">
      <c r="A16" s="145">
        <f>FALSE()</f>
        <v/>
      </c>
      <c r="B16" s="146" t="inlineStr">
        <is>
          <t>Rental</t>
        </is>
      </c>
      <c r="C16" s="146" t="inlineStr">
        <is>
          <t>Cypress Home</t>
        </is>
      </c>
      <c r="D16" s="146" t="inlineStr">
        <is>
          <t>Rental Income Summary (Full Year)</t>
        </is>
      </c>
      <c r="E16" s="146" t="inlineStr">
        <is>
          <t>Avail Portal / Bank Statements</t>
        </is>
      </c>
      <c r="F16" s="146" t="inlineStr">
        <is>
          <t>2025_Cypress_RentIncome.pdf</t>
        </is>
      </c>
      <c r="G16" s="146" t="n"/>
      <c r="H16" s="147" t="n"/>
      <c r="I16" s="148" t="inlineStr">
        <is>
          <t>HAVE - $38,400 (from Avail CSV)</t>
        </is>
      </c>
    </row>
    <row r="17" ht="24" customHeight="1" s="138">
      <c r="A17" s="149">
        <f>FALSE()</f>
        <v/>
      </c>
      <c r="B17" s="150" t="inlineStr">
        <is>
          <t>Rental</t>
        </is>
      </c>
      <c r="C17" s="150" t="inlineStr">
        <is>
          <t>Cypress Home</t>
        </is>
      </c>
      <c r="D17" s="150" t="inlineStr">
        <is>
          <t>Expense Summary (Repairs, HOA, Insurance)</t>
        </is>
      </c>
      <c r="E17" s="150" t="inlineStr">
        <is>
          <t>Receipts / Records</t>
        </is>
      </c>
      <c r="F17" s="150" t="inlineStr">
        <is>
          <t>2025_Cypress_Expenses.pdf</t>
        </is>
      </c>
      <c r="G17" s="150" t="n"/>
      <c r="H17" s="151" t="n"/>
      <c r="I17" s="152" t="inlineStr">
        <is>
          <t>HAVE - SageSure DP3 $3,510/yr, Policy TXFK91378600</t>
        </is>
      </c>
    </row>
    <row r="18" ht="24" customHeight="1" s="138">
      <c r="A18" s="145">
        <f>FALSE()</f>
        <v/>
      </c>
      <c r="B18" s="146" t="inlineStr">
        <is>
          <t>Rental</t>
        </is>
      </c>
      <c r="C18" s="146" t="inlineStr">
        <is>
          <t>Cypress Home</t>
        </is>
      </c>
      <c r="D18" s="146" t="inlineStr">
        <is>
          <t>Landlord Insurance Declaration</t>
        </is>
      </c>
      <c r="E18" s="146" t="inlineStr">
        <is>
          <t>Insurance Provider</t>
        </is>
      </c>
      <c r="F18" s="146" t="inlineStr">
        <is>
          <t>2025_Cypress_Insurance.pdf</t>
        </is>
      </c>
      <c r="G18" s="146" t="n"/>
      <c r="H18" s="147" t="n"/>
      <c r="I18" s="148" t="inlineStr">
        <is>
          <t>HAVE - SageSure DP3 $3,510/yr, Policy TXFK91378600</t>
        </is>
      </c>
    </row>
    <row r="19" ht="24" customHeight="1" s="138">
      <c r="A19" s="149">
        <f>FALSE()</f>
        <v/>
      </c>
      <c r="B19" s="150" t="inlineStr">
        <is>
          <t>Rental</t>
        </is>
      </c>
      <c r="C19" s="150" t="inlineStr">
        <is>
          <t>Cypress Home</t>
        </is>
      </c>
      <c r="D19" s="150" t="inlineStr">
        <is>
          <t>HOA Statements (if applicable)</t>
        </is>
      </c>
      <c r="E19" s="150" t="inlineStr">
        <is>
          <t>HOA Portal</t>
        </is>
      </c>
      <c r="F19" s="150" t="inlineStr">
        <is>
          <t>2025_Cypress_HOA.pdf</t>
        </is>
      </c>
      <c r="G19" s="150" t="n"/>
      <c r="H19" s="151" t="n"/>
      <c r="I19" s="152" t="inlineStr">
        <is>
          <t>HAVE - Lone Oak $832.25/yr</t>
        </is>
      </c>
    </row>
    <row r="20" ht="24" customHeight="1" s="138">
      <c r="A20" s="154" t="inlineStr">
        <is>
          <t>RENTAL - BRIARWEST HOME (Possibly LLC)</t>
        </is>
      </c>
      <c r="B20" s="143" t="n"/>
      <c r="C20" s="143" t="n"/>
      <c r="D20" s="143" t="n"/>
      <c r="E20" s="143" t="n"/>
      <c r="F20" s="143" t="n"/>
      <c r="G20" s="143" t="n"/>
      <c r="H20" s="143" t="n"/>
      <c r="I20" s="144" t="n"/>
    </row>
    <row r="21" ht="24" customHeight="1" s="138">
      <c r="A21" s="145">
        <f>FALSE()</f>
        <v/>
      </c>
      <c r="B21" s="146" t="inlineStr">
        <is>
          <t>Rental</t>
        </is>
      </c>
      <c r="C21" s="146" t="inlineStr">
        <is>
          <t>Briarwest Home</t>
        </is>
      </c>
      <c r="D21" s="146" t="inlineStr">
        <is>
          <t>Form 1098 (Mortgage Interest)</t>
        </is>
      </c>
      <c r="E21" s="146" t="inlineStr">
        <is>
          <t>Mortgage Lender Portal</t>
        </is>
      </c>
      <c r="F21" s="146" t="inlineStr">
        <is>
          <t>2025_Briarwest_1098.pdf</t>
        </is>
      </c>
      <c r="G21" s="146" t="n"/>
      <c r="H21" s="147" t="n"/>
      <c r="I21" s="148" t="inlineStr">
        <is>
          <t>HAVE - NAF $3,837.79 int + $1,729.86 tax</t>
        </is>
      </c>
    </row>
    <row r="22" ht="24" customHeight="1" s="138">
      <c r="A22" s="149">
        <f>FALSE()</f>
        <v/>
      </c>
      <c r="B22" s="150" t="inlineStr">
        <is>
          <t>Rental</t>
        </is>
      </c>
      <c r="C22" s="150" t="inlineStr">
        <is>
          <t>Briarwest Home</t>
        </is>
      </c>
      <c r="D22" s="150" t="inlineStr">
        <is>
          <t>Property Tax Statement</t>
        </is>
      </c>
      <c r="E22" s="150" t="inlineStr">
        <is>
          <t>County Tax Office</t>
        </is>
      </c>
      <c r="F22" s="150" t="inlineStr">
        <is>
          <t>2025_Briarwest_PropertyTax.pdf</t>
        </is>
      </c>
      <c r="G22" s="150" t="n"/>
      <c r="H22" s="151" t="n"/>
      <c r="I22" s="152" t="inlineStr">
        <is>
          <t>HAVE - $1,729.86 (from 1098 Box 10)</t>
        </is>
      </c>
    </row>
    <row r="23" ht="24" customHeight="1" s="138">
      <c r="A23" s="145">
        <f>FALSE()</f>
        <v/>
      </c>
      <c r="B23" s="146" t="inlineStr">
        <is>
          <t>Rental</t>
        </is>
      </c>
      <c r="C23" s="146" t="inlineStr">
        <is>
          <t>Briarwest Home</t>
        </is>
      </c>
      <c r="D23" s="146" t="inlineStr">
        <is>
          <t>Rental Income Summary (Full Year)</t>
        </is>
      </c>
      <c r="E23" s="146" t="inlineStr">
        <is>
          <t>Avail Portal / Bank Statements</t>
        </is>
      </c>
      <c r="F23" s="146" t="inlineStr">
        <is>
          <t>2025_Briarwest_RentIncome.pdf</t>
        </is>
      </c>
      <c r="G23" s="146" t="n"/>
      <c r="H23" s="147" t="n"/>
      <c r="I23" s="148" t="inlineStr">
        <is>
          <t>HAVE - $95,895 (from Avail CSV)</t>
        </is>
      </c>
    </row>
    <row r="24" ht="24" customHeight="1" s="138">
      <c r="A24" s="149">
        <f>FALSE()</f>
        <v/>
      </c>
      <c r="B24" s="150" t="inlineStr">
        <is>
          <t>Rental</t>
        </is>
      </c>
      <c r="C24" s="150" t="inlineStr">
        <is>
          <t>Briarwest Home</t>
        </is>
      </c>
      <c r="D24" s="150" t="inlineStr">
        <is>
          <t>Expense Summary (Repairs, HOA, Insurance)</t>
        </is>
      </c>
      <c r="E24" s="150" t="inlineStr">
        <is>
          <t>Receipts / Records</t>
        </is>
      </c>
      <c r="F24" s="150" t="inlineStr">
        <is>
          <t>2025_Briarwest_Expenses.pdf</t>
        </is>
      </c>
      <c r="G24" s="150" t="n"/>
      <c r="H24" s="151" t="n"/>
      <c r="I24" s="152" t="inlineStr">
        <is>
          <t>HAVE - Autumn Chase $335/mo = $4,020/yr (screenshot)</t>
        </is>
      </c>
    </row>
    <row r="25" ht="24" customHeight="1" s="138">
      <c r="A25" s="145">
        <f>FALSE()</f>
        <v/>
      </c>
      <c r="B25" s="146" t="inlineStr">
        <is>
          <t>Rental</t>
        </is>
      </c>
      <c r="C25" s="146" t="inlineStr">
        <is>
          <t>Briarwest Home</t>
        </is>
      </c>
      <c r="D25" s="146" t="inlineStr">
        <is>
          <t>Landlord Insurance Declaration</t>
        </is>
      </c>
      <c r="E25" s="146" t="inlineStr">
        <is>
          <t>Insurance Provider</t>
        </is>
      </c>
      <c r="F25" s="146" t="inlineStr">
        <is>
          <t>2025_Briarwest_Insurance.pdf</t>
        </is>
      </c>
      <c r="G25" s="146" t="n"/>
      <c r="H25" s="147" t="n"/>
      <c r="I25" s="148" t="inlineStr">
        <is>
          <t>HAVE - SageSure DP3 $2,679/yr, Policy TXFK91597100</t>
        </is>
      </c>
    </row>
    <row r="26" ht="24" customHeight="1" s="138">
      <c r="A26" s="149">
        <f>FALSE()</f>
        <v/>
      </c>
      <c r="B26" s="150" t="inlineStr">
        <is>
          <t>Rental</t>
        </is>
      </c>
      <c r="C26" s="150" t="inlineStr">
        <is>
          <t>Briarwest Home</t>
        </is>
      </c>
      <c r="D26" s="150" t="inlineStr">
        <is>
          <t>HOA Statements (if applicable)</t>
        </is>
      </c>
      <c r="E26" s="150" t="inlineStr">
        <is>
          <t>HOA Portal</t>
        </is>
      </c>
      <c r="F26" s="150" t="inlineStr">
        <is>
          <t>2025_Briarwest_HOA.pdf</t>
        </is>
      </c>
      <c r="G26" s="150" t="n"/>
      <c r="H26" s="151" t="n"/>
      <c r="I26" s="152" t="inlineStr">
        <is>
          <t>HAVE - Autumn Chase $335/mo = $4,020/yr (screenshot)</t>
        </is>
      </c>
    </row>
    <row r="27" ht="24" customHeight="1" s="138">
      <c r="A27" s="154" t="inlineStr">
        <is>
          <t>RENTAL - COMBINED</t>
        </is>
      </c>
      <c r="B27" s="143" t="n"/>
      <c r="C27" s="143" t="n"/>
      <c r="D27" s="143" t="n"/>
      <c r="E27" s="143" t="n"/>
      <c r="F27" s="143" t="n"/>
      <c r="G27" s="143" t="n"/>
      <c r="H27" s="143" t="n"/>
      <c r="I27" s="144" t="n"/>
    </row>
    <row r="28" ht="24" customHeight="1" s="138">
      <c r="A28" s="145">
        <f>FALSE()</f>
        <v/>
      </c>
      <c r="B28" s="146" t="inlineStr">
        <is>
          <t>Rental</t>
        </is>
      </c>
      <c r="C28" s="146" t="inlineStr">
        <is>
          <t>Both Properties</t>
        </is>
      </c>
      <c r="D28" s="146" t="inlineStr">
        <is>
          <t>1099-K from Avail ($49,225 total)</t>
        </is>
      </c>
      <c r="E28" s="146" t="inlineStr">
        <is>
          <t>Avail Portal</t>
        </is>
      </c>
      <c r="F28" s="146" t="inlineStr">
        <is>
          <t>2025_Avail_1099K.pdf</t>
        </is>
      </c>
      <c r="G28" s="146" t="n"/>
      <c r="H28" s="147" t="n"/>
      <c r="I28" s="148" t="inlineStr">
        <is>
          <t>HAVE - $49,225 (actual income $134,295)</t>
        </is>
      </c>
    </row>
    <row r="29" ht="24" customHeight="1" s="138">
      <c r="A29" s="155" t="inlineStr">
        <is>
          <t>BUSINESS - ASAP CREDIT REPAIR (S-CORP)</t>
        </is>
      </c>
      <c r="B29" s="143" t="n"/>
      <c r="C29" s="143" t="n"/>
      <c r="D29" s="143" t="n"/>
      <c r="E29" s="143" t="n"/>
      <c r="F29" s="143" t="n"/>
      <c r="G29" s="143" t="n"/>
      <c r="H29" s="143" t="n"/>
      <c r="I29" s="144" t="n"/>
    </row>
    <row r="30" ht="24" customHeight="1" s="138">
      <c r="A30" s="145">
        <f>FALSE()</f>
        <v/>
      </c>
      <c r="B30" s="146" t="inlineStr">
        <is>
          <t>Business</t>
        </is>
      </c>
      <c r="C30" s="146" t="inlineStr">
        <is>
          <t>ASAP Credit Repair</t>
        </is>
      </c>
      <c r="D30" s="146" t="inlineStr">
        <is>
          <t>Profit &amp; Loss Statement (Full Year)</t>
        </is>
      </c>
      <c r="E30" s="146" t="inlineStr">
        <is>
          <t>Manual / Export</t>
        </is>
      </c>
      <c r="F30" s="146" t="inlineStr">
        <is>
          <t>2025_ASAP_PnL.pdf</t>
        </is>
      </c>
      <c r="G30" s="146" t="n"/>
      <c r="H30" s="147" t="inlineStr">
        <is>
          <t>Upload to: 02_ASAP_Credit_Repair/Financials/</t>
        </is>
      </c>
      <c r="I30" s="148" t="inlineStr">
        <is>
          <t>HAVE - ASAP_Credit_Repair_2025_PnL_CPA.docx</t>
        </is>
      </c>
    </row>
    <row r="31" ht="24" customHeight="1" s="138">
      <c r="A31" s="149">
        <f>FALSE()</f>
        <v/>
      </c>
      <c r="B31" s="150" t="inlineStr">
        <is>
          <t>Business</t>
        </is>
      </c>
      <c r="C31" s="150" t="inlineStr">
        <is>
          <t>ASAP Credit Repair</t>
        </is>
      </c>
      <c r="D31" s="150" t="inlineStr">
        <is>
          <t>Balance Sheet (Year-End)</t>
        </is>
      </c>
      <c r="E31" s="150" t="inlineStr">
        <is>
          <t>Manual / Export</t>
        </is>
      </c>
      <c r="F31" s="150" t="inlineStr">
        <is>
          <t>2025_ASAP_BalanceSheet.pdf</t>
        </is>
      </c>
      <c r="G31" s="150" t="n"/>
      <c r="H31" s="151" t="n"/>
      <c r="I31" s="152" t="inlineStr">
        <is>
          <t>HAVE - Assets $771K, Liabilities $26K, Equity $745K</t>
        </is>
      </c>
    </row>
    <row r="32" ht="24" customHeight="1" s="138">
      <c r="A32" s="145">
        <f>FALSE()</f>
        <v/>
      </c>
      <c r="B32" s="146" t="inlineStr">
        <is>
          <t>Business</t>
        </is>
      </c>
      <c r="C32" s="146" t="inlineStr">
        <is>
          <t>ASAP Credit Repair</t>
        </is>
      </c>
      <c r="D32" s="146" t="inlineStr">
        <is>
          <t>Business Bank Statements (Full Year)</t>
        </is>
      </c>
      <c r="E32" s="146" t="inlineStr">
        <is>
          <t>Chase / Bank Portal</t>
        </is>
      </c>
      <c r="F32" s="146" t="inlineStr">
        <is>
          <t>2025_ASAP_BankStatements.pdf</t>
        </is>
      </c>
      <c r="G32" s="146" t="n"/>
      <c r="H32" s="147" t="n"/>
      <c r="I32" s="146" t="inlineStr">
        <is>
          <t>All 12 months or year-end summary</t>
        </is>
      </c>
    </row>
    <row r="33" ht="24" customHeight="1" s="138">
      <c r="A33" s="149">
        <f>FALSE()</f>
        <v/>
      </c>
      <c r="B33" s="150" t="inlineStr">
        <is>
          <t>Business</t>
        </is>
      </c>
      <c r="C33" s="150" t="inlineStr">
        <is>
          <t>ASAP Credit Repair</t>
        </is>
      </c>
      <c r="D33" s="150" t="inlineStr">
        <is>
          <t>Business Credit Card Statements</t>
        </is>
      </c>
      <c r="E33" s="150" t="inlineStr">
        <is>
          <t>Amex / Chase Portal</t>
        </is>
      </c>
      <c r="F33" s="150" t="inlineStr">
        <is>
          <t>2025_ASAP_CreditCards.pdf</t>
        </is>
      </c>
      <c r="G33" s="150" t="n"/>
      <c r="H33" s="151" t="inlineStr">
        <is>
          <t>Upload to: 02_ASAP_Credit_Repair/Expenses/</t>
        </is>
      </c>
      <c r="I33" s="152" t="inlineStr">
        <is>
          <t>HAVE - Chase (143pg) + Amex CSV (598 txns)</t>
        </is>
      </c>
    </row>
    <row r="34" ht="24" customHeight="1" s="138">
      <c r="A34" s="145">
        <f>FALSE()</f>
        <v/>
      </c>
      <c r="B34" s="146" t="inlineStr">
        <is>
          <t>Business</t>
        </is>
      </c>
      <c r="C34" s="146" t="inlineStr">
        <is>
          <t>ASAP Credit Repair</t>
        </is>
      </c>
      <c r="D34" s="146" t="inlineStr">
        <is>
          <t>Business Loan Interest Statements</t>
        </is>
      </c>
      <c r="E34" s="146" t="inlineStr">
        <is>
          <t>Lender Portals</t>
        </is>
      </c>
      <c r="F34" s="146" t="inlineStr">
        <is>
          <t>2025_ASAP_LoanInterest.pdf</t>
        </is>
      </c>
      <c r="G34" s="146" t="n"/>
      <c r="H34" s="147" t="n"/>
      <c r="I34" s="146" t="inlineStr">
        <is>
          <t>If any business loans</t>
        </is>
      </c>
    </row>
    <row r="35" ht="24" customHeight="1" s="138">
      <c r="A35" s="155" t="inlineStr">
        <is>
          <t>TRUCK - 2022 GMC SIERRA 2500 (Purchased Personally)</t>
        </is>
      </c>
      <c r="B35" s="143" t="n"/>
      <c r="C35" s="143" t="n"/>
      <c r="D35" s="143" t="n"/>
      <c r="E35" s="143" t="n"/>
      <c r="F35" s="143" t="n"/>
      <c r="G35" s="143" t="n"/>
      <c r="H35" s="143" t="n"/>
      <c r="I35" s="144" t="n"/>
    </row>
    <row r="36" ht="24" customHeight="1" s="138">
      <c r="A36" s="145">
        <f>FALSE()</f>
        <v/>
      </c>
      <c r="B36" s="146" t="inlineStr">
        <is>
          <t>Business Asset</t>
        </is>
      </c>
      <c r="C36" s="146" t="inlineStr">
        <is>
          <t>GMC Sierra 2500</t>
        </is>
      </c>
      <c r="D36" s="146" t="inlineStr">
        <is>
          <t>Purchase Agreement / Bill of Sale</t>
        </is>
      </c>
      <c r="E36" s="146" t="inlineStr">
        <is>
          <t>Dealer Records</t>
        </is>
      </c>
      <c r="F36" s="146" t="inlineStr">
        <is>
          <t>2025_Truck_Purchase.pdf</t>
        </is>
      </c>
      <c r="G36" s="146" t="n"/>
      <c r="H36" s="147" t="n"/>
      <c r="I36" s="148" t="inlineStr">
        <is>
          <t>HAVE - $54,990</t>
        </is>
      </c>
    </row>
    <row r="37" ht="24" customHeight="1" s="138">
      <c r="A37" s="149">
        <f>FALSE()</f>
        <v/>
      </c>
      <c r="B37" s="150" t="inlineStr">
        <is>
          <t>Business Asset</t>
        </is>
      </c>
      <c r="C37" s="150" t="inlineStr">
        <is>
          <t>GMC Sierra 2500</t>
        </is>
      </c>
      <c r="D37" s="150" t="inlineStr">
        <is>
          <t>Loan / Finance Agreement</t>
        </is>
      </c>
      <c r="E37" s="150" t="inlineStr">
        <is>
          <t>AutoNation / Lender</t>
        </is>
      </c>
      <c r="F37" s="150" t="inlineStr">
        <is>
          <t>2025_Truck_LoanDocs.pdf</t>
        </is>
      </c>
      <c r="G37" s="150" t="n"/>
      <c r="H37" s="151" t="n"/>
      <c r="I37" s="150" t="inlineStr">
        <is>
          <t>$38,162 financed @ 6.99%</t>
        </is>
      </c>
    </row>
    <row r="38" ht="24" customHeight="1" s="138">
      <c r="A38" s="145">
        <f>FALSE()</f>
        <v/>
      </c>
      <c r="B38" s="146" t="inlineStr">
        <is>
          <t>Business Asset</t>
        </is>
      </c>
      <c r="C38" s="146" t="inlineStr">
        <is>
          <t>GMC Sierra 2500</t>
        </is>
      </c>
      <c r="D38" s="146" t="inlineStr">
        <is>
          <t>Mileage Log (Business vs Personal)</t>
        </is>
      </c>
      <c r="E38" s="146" t="inlineStr">
        <is>
          <t>Manual / MileIQ App</t>
        </is>
      </c>
      <c r="F38" s="146" t="inlineStr">
        <is>
          <t>2025_Truck_MileageLog.pdf</t>
        </is>
      </c>
      <c r="G38" s="146" t="n"/>
      <c r="H38" s="147" t="n"/>
      <c r="I38" s="156" t="inlineStr">
        <is>
          <t>START TRACKING NOW</t>
        </is>
      </c>
    </row>
    <row r="39" ht="24" customHeight="1" s="138">
      <c r="A39" s="149">
        <f>FALSE()</f>
        <v/>
      </c>
      <c r="B39" s="150" t="inlineStr">
        <is>
          <t>Business Asset</t>
        </is>
      </c>
      <c r="C39" s="150" t="inlineStr">
        <is>
          <t>GMC Sierra 2500</t>
        </is>
      </c>
      <c r="D39" s="150" t="inlineStr">
        <is>
          <t>Insurance Declaration Page</t>
        </is>
      </c>
      <c r="E39" s="150" t="inlineStr">
        <is>
          <t>Insurance Provider</t>
        </is>
      </c>
      <c r="F39" s="150" t="inlineStr">
        <is>
          <t>2025_Truck_Insurance.pdf</t>
        </is>
      </c>
      <c r="G39" s="150" t="n"/>
      <c r="H39" s="151" t="n"/>
      <c r="I39" s="150" t="n"/>
    </row>
    <row r="40" ht="24" customHeight="1" s="138">
      <c r="A40" s="145">
        <f>FALSE()</f>
        <v/>
      </c>
      <c r="B40" s="146" t="inlineStr">
        <is>
          <t>Business Asset</t>
        </is>
      </c>
      <c r="C40" s="146" t="inlineStr">
        <is>
          <t>GMC Sierra 2500</t>
        </is>
      </c>
      <c r="D40" s="146" t="inlineStr">
        <is>
          <t>Loan Interest Statement (Year-End)</t>
        </is>
      </c>
      <c r="E40" s="146" t="inlineStr">
        <is>
          <t>Lender Portal</t>
        </is>
      </c>
      <c r="F40" s="146" t="inlineStr">
        <is>
          <t>2025_Truck_LoanInterest.pdf</t>
        </is>
      </c>
      <c r="G40" s="146" t="n"/>
      <c r="H40" s="147" t="n"/>
      <c r="I40" s="146" t="inlineStr">
        <is>
          <t>Deduct biz % of interest</t>
        </is>
      </c>
    </row>
    <row r="41" ht="24" customHeight="1" s="138">
      <c r="A41" s="157" t="inlineStr">
        <is>
          <t>AFFILIATE 1099 INCOME</t>
        </is>
      </c>
      <c r="B41" s="143" t="n"/>
      <c r="C41" s="143" t="n"/>
      <c r="D41" s="143" t="n"/>
      <c r="E41" s="143" t="n"/>
      <c r="F41" s="143" t="n"/>
      <c r="G41" s="143" t="n"/>
      <c r="H41" s="143" t="n"/>
      <c r="I41" s="144" t="n"/>
    </row>
    <row r="42" ht="24" customHeight="1" s="138">
      <c r="A42" s="145">
        <f>FALSE()</f>
        <v/>
      </c>
      <c r="B42" s="146" t="inlineStr">
        <is>
          <t>1099 Income</t>
        </is>
      </c>
      <c r="C42" s="146" t="inlineStr">
        <is>
          <t>Credit Builder Card</t>
        </is>
      </c>
      <c r="D42" s="146" t="inlineStr">
        <is>
          <t>1099-NEC</t>
        </is>
      </c>
      <c r="E42" s="146" t="inlineStr">
        <is>
          <t>Affiliate Portal</t>
        </is>
      </c>
      <c r="F42" s="146" t="inlineStr">
        <is>
          <t>2025_CreditBuilderCard_1099.pdf</t>
        </is>
      </c>
      <c r="G42" s="146" t="n"/>
      <c r="H42" s="147" t="n"/>
      <c r="I42" s="156" t="inlineStr">
        <is>
          <t>STILL NEED</t>
        </is>
      </c>
    </row>
    <row r="43" ht="24" customHeight="1" s="138">
      <c r="A43" s="149">
        <f>FALSE()</f>
        <v/>
      </c>
      <c r="B43" s="150" t="inlineStr">
        <is>
          <t>1099 Income</t>
        </is>
      </c>
      <c r="C43" s="150" t="inlineStr">
        <is>
          <t>Credit Card Broker</t>
        </is>
      </c>
      <c r="D43" s="150" t="inlineStr">
        <is>
          <t>1099-NEC</t>
        </is>
      </c>
      <c r="E43" s="150" t="inlineStr">
        <is>
          <t>Affiliate Portal</t>
        </is>
      </c>
      <c r="F43" s="150" t="inlineStr">
        <is>
          <t>2025_CreditCardBroker_1099.pdf</t>
        </is>
      </c>
      <c r="G43" s="150" t="n"/>
      <c r="H43" s="151" t="n"/>
      <c r="I43" s="158" t="inlineStr">
        <is>
          <t>STILL NEED</t>
        </is>
      </c>
    </row>
    <row r="44" ht="24" customHeight="1" s="138">
      <c r="A44" s="145">
        <f>FALSE()</f>
        <v/>
      </c>
      <c r="B44" s="146" t="inlineStr">
        <is>
          <t>1099 Income</t>
        </is>
      </c>
      <c r="C44" s="146" t="inlineStr">
        <is>
          <t>Identity IQ</t>
        </is>
      </c>
      <c r="D44" s="146" t="inlineStr">
        <is>
          <t>1099-NEC</t>
        </is>
      </c>
      <c r="E44" s="146" t="inlineStr">
        <is>
          <t>Affiliate Portal</t>
        </is>
      </c>
      <c r="F44" s="146" t="inlineStr">
        <is>
          <t>2025_IdentityIQ_1099.pdf</t>
        </is>
      </c>
      <c r="G44" s="146" t="n"/>
      <c r="H44" s="147" t="n"/>
      <c r="I44" s="156" t="inlineStr">
        <is>
          <t>STILL NEED</t>
        </is>
      </c>
    </row>
    <row r="45" ht="24" customHeight="1" s="138">
      <c r="A45" s="149">
        <f>FALSE()</f>
        <v/>
      </c>
      <c r="B45" s="150" t="inlineStr">
        <is>
          <t>1099 Income</t>
        </is>
      </c>
      <c r="C45" s="150" t="inlineStr">
        <is>
          <t>Rate Special</t>
        </is>
      </c>
      <c r="D45" s="150" t="inlineStr">
        <is>
          <t>1099-NEC</t>
        </is>
      </c>
      <c r="E45" s="150" t="inlineStr">
        <is>
          <t>Affiliate Portal</t>
        </is>
      </c>
      <c r="F45" s="150" t="inlineStr">
        <is>
          <t>2025_RateSpecial_1099.pdf</t>
        </is>
      </c>
      <c r="G45" s="150" t="n"/>
      <c r="H45" s="151" t="n"/>
      <c r="I45" s="158" t="inlineStr">
        <is>
          <t>STILL NEED</t>
        </is>
      </c>
    </row>
    <row r="46" ht="24" customHeight="1" s="138">
      <c r="A46" s="159" t="inlineStr">
        <is>
          <t>PAYROLL - PAYCHEX (ASAP CREDIT REPAIR)</t>
        </is>
      </c>
      <c r="B46" s="143" t="n"/>
      <c r="C46" s="143" t="n"/>
      <c r="D46" s="143" t="n"/>
      <c r="E46" s="143" t="n"/>
      <c r="F46" s="143" t="n"/>
      <c r="G46" s="143" t="n"/>
      <c r="H46" s="143" t="n"/>
      <c r="I46" s="144" t="n"/>
    </row>
    <row r="47" ht="24" customHeight="1" s="138">
      <c r="A47" s="145">
        <f>FALSE()</f>
        <v/>
      </c>
      <c r="B47" s="146" t="inlineStr">
        <is>
          <t>Payroll</t>
        </is>
      </c>
      <c r="C47" s="146" t="inlineStr">
        <is>
          <t>ASAP Credit Repair</t>
        </is>
      </c>
      <c r="D47" s="146" t="inlineStr">
        <is>
          <t>W-2 Forms (All Employees)</t>
        </is>
      </c>
      <c r="E47" s="146" t="inlineStr">
        <is>
          <t>Paychex &gt; Reports &gt; Tax Documents &gt; W-2</t>
        </is>
      </c>
      <c r="F47" s="146" t="inlineStr">
        <is>
          <t>2025_W2_AllEmployees.pdf</t>
        </is>
      </c>
      <c r="G47" s="146" t="n"/>
      <c r="H47" s="147" t="n"/>
      <c r="I47" s="160" t="inlineStr">
        <is>
          <t>RESOLVED — Paychex PEO files W-3/940/941 directly. CPA verify via IRS transcript.</t>
        </is>
      </c>
    </row>
    <row r="48" ht="24" customHeight="1" s="138">
      <c r="A48" s="149">
        <f>FALSE()</f>
        <v/>
      </c>
      <c r="B48" s="150" t="inlineStr">
        <is>
          <t>Payroll</t>
        </is>
      </c>
      <c r="C48" s="150" t="inlineStr">
        <is>
          <t>ASAP Credit Repair</t>
        </is>
      </c>
      <c r="D48" s="150" t="inlineStr">
        <is>
          <t>W-3 Transmittal</t>
        </is>
      </c>
      <c r="E48" s="150" t="inlineStr">
        <is>
          <t>Paychex &gt; Tax Documents &gt; W-3</t>
        </is>
      </c>
      <c r="F48" s="150" t="inlineStr">
        <is>
          <t>2025_W3.pdf</t>
        </is>
      </c>
      <c r="G48" s="150" t="n"/>
      <c r="H48" s="151" t="n"/>
      <c r="I48" s="160" t="inlineStr">
        <is>
          <t>RESOLVED — Paychex PEO files W-3/940/941 directly. CPA verify via IRS transcript.</t>
        </is>
      </c>
    </row>
    <row r="49" ht="24" customHeight="1" s="138">
      <c r="A49" s="145">
        <f>FALSE()</f>
        <v/>
      </c>
      <c r="B49" s="146" t="inlineStr">
        <is>
          <t>Payroll</t>
        </is>
      </c>
      <c r="C49" s="146" t="inlineStr">
        <is>
          <t>ASAP Credit Repair</t>
        </is>
      </c>
      <c r="D49" s="146" t="inlineStr">
        <is>
          <t>1099-NEC (Contractors via Paychex)</t>
        </is>
      </c>
      <c r="E49" s="146" t="inlineStr">
        <is>
          <t>Paychex &gt; Tax Documents &gt; 1099</t>
        </is>
      </c>
      <c r="F49" s="146" t="inlineStr">
        <is>
          <t>2025_Contractor_1099s.pdf</t>
        </is>
      </c>
      <c r="G49" s="146" t="n"/>
      <c r="H49" s="147" t="n"/>
      <c r="I49" s="153" t="inlineStr">
        <is>
          <t>RESOLVED — Paychex PEO files W-3/940/941 directly. CPA verify via IRS transcript.</t>
        </is>
      </c>
    </row>
    <row r="50" ht="24" customHeight="1" s="138">
      <c r="A50" s="149">
        <f>FALSE()</f>
        <v/>
      </c>
      <c r="B50" s="150" t="inlineStr">
        <is>
          <t>Payroll</t>
        </is>
      </c>
      <c r="C50" s="150" t="inlineStr">
        <is>
          <t>ASAP Credit Repair</t>
        </is>
      </c>
      <c r="D50" s="150" t="inlineStr">
        <is>
          <t>Form 940 (FUTA - Annual)</t>
        </is>
      </c>
      <c r="E50" s="150" t="inlineStr">
        <is>
          <t>Paychex &gt; Tax Documents &gt; Annual</t>
        </is>
      </c>
      <c r="F50" s="150" t="inlineStr">
        <is>
          <t>2025_940_FUTA.pdf</t>
        </is>
      </c>
      <c r="G50" s="150" t="n"/>
      <c r="H50" s="151" t="n"/>
      <c r="I50" s="160" t="inlineStr">
        <is>
          <t>RESOLVED — Paychex PEO files W-3/940/941 directly. CPA verify via IRS transcript.</t>
        </is>
      </c>
    </row>
    <row r="51" ht="24" customHeight="1" s="138">
      <c r="A51" s="145">
        <f>FALSE()</f>
        <v/>
      </c>
      <c r="B51" s="146" t="inlineStr">
        <is>
          <t>Payroll</t>
        </is>
      </c>
      <c r="C51" s="146" t="inlineStr">
        <is>
          <t>ASAP Credit Repair</t>
        </is>
      </c>
      <c r="D51" s="146" t="inlineStr">
        <is>
          <t>Q1 Form 941</t>
        </is>
      </c>
      <c r="E51" s="146" t="inlineStr">
        <is>
          <t>Paychex &gt; Tax Documents &gt; Quarterly</t>
        </is>
      </c>
      <c r="F51" s="146" t="inlineStr">
        <is>
          <t>2025_Q1_941.pdf</t>
        </is>
      </c>
      <c r="G51" s="146" t="n"/>
      <c r="H51" s="147" t="n"/>
      <c r="I51" s="160" t="inlineStr">
        <is>
          <t>RESOLVED — Paychex PEO files W-3/940/941 directly. CPA verify via IRS transcript.</t>
        </is>
      </c>
    </row>
    <row r="52" ht="24" customHeight="1" s="138">
      <c r="A52" s="149">
        <f>FALSE()</f>
        <v/>
      </c>
      <c r="B52" s="150" t="inlineStr">
        <is>
          <t>Payroll</t>
        </is>
      </c>
      <c r="C52" s="150" t="inlineStr">
        <is>
          <t>ASAP Credit Repair</t>
        </is>
      </c>
      <c r="D52" s="150" t="inlineStr">
        <is>
          <t>Q2 Form 941</t>
        </is>
      </c>
      <c r="E52" s="150" t="inlineStr">
        <is>
          <t>Paychex &gt; Tax Documents &gt; Quarterly</t>
        </is>
      </c>
      <c r="F52" s="150" t="inlineStr">
        <is>
          <t>2025_Q2_941.pdf</t>
        </is>
      </c>
      <c r="G52" s="150" t="n"/>
      <c r="H52" s="151" t="n"/>
      <c r="I52" s="160" t="inlineStr">
        <is>
          <t>RESOLVED — Paychex PEO files W-3/940/941 directly. CPA verify via IRS transcript.</t>
        </is>
      </c>
    </row>
    <row r="53" ht="24" customHeight="1" s="138">
      <c r="A53" s="145">
        <f>FALSE()</f>
        <v/>
      </c>
      <c r="B53" s="146" t="inlineStr">
        <is>
          <t>Payroll</t>
        </is>
      </c>
      <c r="C53" s="146" t="inlineStr">
        <is>
          <t>ASAP Credit Repair</t>
        </is>
      </c>
      <c r="D53" s="146" t="inlineStr">
        <is>
          <t>Q3 Form 941</t>
        </is>
      </c>
      <c r="E53" s="146" t="inlineStr">
        <is>
          <t>Paychex &gt; Tax Documents &gt; Quarterly</t>
        </is>
      </c>
      <c r="F53" s="146" t="inlineStr">
        <is>
          <t>2025_Q3_941.pdf</t>
        </is>
      </c>
      <c r="G53" s="146" t="n"/>
      <c r="H53" s="147" t="n"/>
      <c r="I53" s="160" t="inlineStr">
        <is>
          <t>RESOLVED — Paychex PEO files W-3/940/941 directly. CPA verify via IRS transcript.</t>
        </is>
      </c>
    </row>
    <row r="54" ht="24" customHeight="1" s="138">
      <c r="A54" s="149">
        <f>FALSE()</f>
        <v/>
      </c>
      <c r="B54" s="150" t="inlineStr">
        <is>
          <t>Payroll</t>
        </is>
      </c>
      <c r="C54" s="150" t="inlineStr">
        <is>
          <t>ASAP Credit Repair</t>
        </is>
      </c>
      <c r="D54" s="150" t="inlineStr">
        <is>
          <t>Q4 Form 941</t>
        </is>
      </c>
      <c r="E54" s="150" t="inlineStr">
        <is>
          <t>Paychex &gt; Tax Documents &gt; Quarterly</t>
        </is>
      </c>
      <c r="F54" s="150" t="inlineStr">
        <is>
          <t>2025_Q4_941.pdf</t>
        </is>
      </c>
      <c r="G54" s="150" t="n"/>
      <c r="H54" s="151" t="n"/>
      <c r="I54" s="160" t="inlineStr">
        <is>
          <t>RESOLVED — Paychex PEO files W-3/940/941 directly. CPA verify via IRS transcript.</t>
        </is>
      </c>
    </row>
    <row r="55" ht="24" customHeight="1" s="138">
      <c r="A55" s="145">
        <f>FALSE()</f>
        <v/>
      </c>
      <c r="B55" s="146" t="inlineStr">
        <is>
          <t>Payroll</t>
        </is>
      </c>
      <c r="C55" s="146" t="inlineStr">
        <is>
          <t>ASAP Credit Repair</t>
        </is>
      </c>
      <c r="D55" s="146" t="inlineStr">
        <is>
          <t>Payroll Summary (Full Year)</t>
        </is>
      </c>
      <c r="E55" s="146" t="inlineStr">
        <is>
          <t>Paychex &gt; Reports &gt; Payroll Summary</t>
        </is>
      </c>
      <c r="F55" s="146" t="inlineStr">
        <is>
          <t>2025_Payroll_Summary.pdf</t>
        </is>
      </c>
      <c r="G55" s="146" t="n"/>
      <c r="H55" s="147" t="n"/>
      <c r="I55" s="160" t="inlineStr">
        <is>
          <t>RESOLVED — Paychex PEO files W-3/940/941 directly. CPA verify via IRS transcript.</t>
        </is>
      </c>
    </row>
    <row r="56" ht="24" customHeight="1" s="138">
      <c r="A56" s="149">
        <f>FALSE()</f>
        <v/>
      </c>
      <c r="B56" s="150" t="inlineStr">
        <is>
          <t>Payroll</t>
        </is>
      </c>
      <c r="C56" s="150" t="inlineStr">
        <is>
          <t>ASAP Credit Repair</t>
        </is>
      </c>
      <c r="D56" s="150" t="inlineStr">
        <is>
          <t>Tax Liability Report (Full Year)</t>
        </is>
      </c>
      <c r="E56" s="150" t="inlineStr">
        <is>
          <t>Paychex &gt; Reports &gt; Tax Liability</t>
        </is>
      </c>
      <c r="F56" s="150" t="inlineStr">
        <is>
          <t>2025_Tax_Liability.pdf</t>
        </is>
      </c>
      <c r="G56" s="150" t="n"/>
      <c r="H56" s="151" t="n"/>
      <c r="I56" s="160" t="inlineStr">
        <is>
          <t>RESOLVED — Paychex PEO files W-3/940/941 directly. CPA verify via IRS transcript.</t>
        </is>
      </c>
    </row>
    <row r="57" ht="24" customHeight="1" s="138">
      <c r="A57" s="145">
        <f>FALSE()</f>
        <v/>
      </c>
      <c r="B57" s="146" t="inlineStr">
        <is>
          <t>Payroll</t>
        </is>
      </c>
      <c r="C57" s="146" t="inlineStr">
        <is>
          <t>ASAP Credit Repair</t>
        </is>
      </c>
      <c r="D57" s="146" t="inlineStr">
        <is>
          <t>Employee Earnings Record (YTD)</t>
        </is>
      </c>
      <c r="E57" s="146" t="inlineStr">
        <is>
          <t>Paychex &gt; Reports &gt; Earnings</t>
        </is>
      </c>
      <c r="F57" s="146" t="inlineStr">
        <is>
          <t>2025_Earnings_Record.pdf</t>
        </is>
      </c>
      <c r="G57" s="146" t="n"/>
      <c r="H57" s="147" t="n"/>
      <c r="I57" s="160" t="inlineStr">
        <is>
          <t>RESOLVED — Paychex PEO files W-3/940/941 directly. CPA verify via IRS transcript.</t>
        </is>
      </c>
    </row>
    <row r="58" ht="24" customHeight="1" s="138">
      <c r="A58" s="149">
        <f>FALSE()</f>
        <v/>
      </c>
      <c r="B58" s="150" t="inlineStr">
        <is>
          <t>Payroll</t>
        </is>
      </c>
      <c r="C58" s="150" t="inlineStr">
        <is>
          <t>ASAP Credit Repair</t>
        </is>
      </c>
      <c r="D58" s="150" t="inlineStr">
        <is>
          <t>Owner Payroll Summary (Joe Only)</t>
        </is>
      </c>
      <c r="E58" s="150" t="inlineStr">
        <is>
          <t>Paychex &gt; Filter by Owner</t>
        </is>
      </c>
      <c r="F58" s="150" t="inlineStr">
        <is>
          <t>2025_Owner_Payroll_Joe.pdf</t>
        </is>
      </c>
      <c r="G58" s="150" t="n"/>
      <c r="H58" s="151" t="n"/>
      <c r="I58" s="160" t="inlineStr">
        <is>
          <t>RESOLVED — Paychex PEO files W-3/940/941 directly. CPA verify via IRS transcript.</t>
        </is>
      </c>
    </row>
    <row r="59" ht="24" customHeight="1" s="138">
      <c r="A59" s="159" t="inlineStr">
        <is>
          <t>STATE - TEXAS FILINGS</t>
        </is>
      </c>
      <c r="B59" s="143" t="n"/>
      <c r="C59" s="143" t="n"/>
      <c r="D59" s="143" t="n"/>
      <c r="E59" s="143" t="n"/>
      <c r="F59" s="143" t="n"/>
      <c r="G59" s="143" t="n"/>
      <c r="H59" s="143" t="n"/>
      <c r="I59" s="144" t="n"/>
    </row>
    <row r="60" ht="24" customHeight="1" s="138">
      <c r="A60" s="145">
        <f>FALSE()</f>
        <v/>
      </c>
      <c r="B60" s="146" t="inlineStr">
        <is>
          <t>State</t>
        </is>
      </c>
      <c r="C60" s="146" t="inlineStr">
        <is>
          <t>ASAP Credit Repair</t>
        </is>
      </c>
      <c r="D60" s="146" t="inlineStr">
        <is>
          <t>TX Quarterly Withholding (Q1-Q4)</t>
        </is>
      </c>
      <c r="E60" s="146" t="inlineStr">
        <is>
          <t>Paychex &gt; Tax Documents</t>
        </is>
      </c>
      <c r="F60" s="146" t="inlineStr">
        <is>
          <t>2025_TX_Withholding.pdf</t>
        </is>
      </c>
      <c r="G60" s="146" t="n"/>
      <c r="H60" s="147" t="n"/>
      <c r="I60" s="160" t="inlineStr">
        <is>
          <t>RESOLVED — Paychex PEO files W-3/940/941 directly. CPA verify via IRS transcript.</t>
        </is>
      </c>
    </row>
    <row r="61" ht="24" customHeight="1" s="138">
      <c r="A61" s="149">
        <f>FALSE()</f>
        <v/>
      </c>
      <c r="B61" s="150" t="inlineStr">
        <is>
          <t>State</t>
        </is>
      </c>
      <c r="C61" s="150" t="inlineStr">
        <is>
          <t>ASAP Credit Repair</t>
        </is>
      </c>
      <c r="D61" s="150" t="inlineStr">
        <is>
          <t>TX Unemployment (SUTA) Annual</t>
        </is>
      </c>
      <c r="E61" s="150" t="inlineStr">
        <is>
          <t>TWC Portal or Paychex</t>
        </is>
      </c>
      <c r="F61" s="150" t="inlineStr">
        <is>
          <t>2025_TX_SUTA.pdf</t>
        </is>
      </c>
      <c r="G61" s="150" t="n"/>
      <c r="H61" s="151" t="n"/>
      <c r="I61" s="160" t="inlineStr">
        <is>
          <t>RESOLVED — Paychex PEO files W-3/940/941 directly. CPA verify via IRS transcript.</t>
        </is>
      </c>
    </row>
    <row r="62" ht="24" customHeight="1" s="138">
      <c r="A62" s="145">
        <f>FALSE()</f>
        <v/>
      </c>
      <c r="B62" s="146" t="inlineStr">
        <is>
          <t>State</t>
        </is>
      </c>
      <c r="C62" s="146" t="inlineStr">
        <is>
          <t>ASAP Credit Repair</t>
        </is>
      </c>
      <c r="D62" s="146" t="inlineStr">
        <is>
          <t>TX Franchise Tax Report</t>
        </is>
      </c>
      <c r="E62" s="146" t="inlineStr">
        <is>
          <t>TX Comptroller / CPA Prepares</t>
        </is>
      </c>
      <c r="F62" s="146" t="inlineStr">
        <is>
          <t>2025_TX_FranchiseTax.pdf</t>
        </is>
      </c>
      <c r="G62" s="146" t="n"/>
      <c r="H62" s="147" t="n"/>
      <c r="I62" s="146" t="inlineStr">
        <is>
          <t>Due May 15</t>
        </is>
      </c>
    </row>
    <row r="63" ht="24" customHeight="1" s="138">
      <c r="A63" s="161" t="inlineStr">
        <is>
          <t>BANKING &amp; ACCOUNTS</t>
        </is>
      </c>
      <c r="B63" s="143" t="n"/>
      <c r="C63" s="143" t="n"/>
      <c r="D63" s="143" t="n"/>
      <c r="E63" s="143" t="n"/>
      <c r="F63" s="143" t="n"/>
      <c r="G63" s="143" t="n"/>
      <c r="H63" s="143" t="n"/>
      <c r="I63" s="144" t="n"/>
    </row>
    <row r="64" ht="24" customHeight="1" s="138">
      <c r="A64" s="145">
        <f>FALSE()</f>
        <v/>
      </c>
      <c r="B64" s="146" t="inlineStr">
        <is>
          <t>Banking</t>
        </is>
      </c>
      <c r="C64" s="146" t="inlineStr">
        <is>
          <t>Business Accounts</t>
        </is>
      </c>
      <c r="D64" s="146" t="inlineStr">
        <is>
          <t>Business Bank Statements (Year-End)</t>
        </is>
      </c>
      <c r="E64" s="146" t="inlineStr">
        <is>
          <t>Chase / Wells Fargo</t>
        </is>
      </c>
      <c r="F64" s="146" t="inlineStr">
        <is>
          <t>2025_Business_BankSummary.pdf</t>
        </is>
      </c>
      <c r="G64" s="146" t="n"/>
      <c r="H64" s="147" t="n"/>
      <c r="I64" s="146" t="n"/>
    </row>
    <row r="65" ht="24" customHeight="1" s="138">
      <c r="A65" s="149">
        <f>FALSE()</f>
        <v/>
      </c>
      <c r="B65" s="150" t="inlineStr">
        <is>
          <t>Banking</t>
        </is>
      </c>
      <c r="C65" s="150" t="inlineStr">
        <is>
          <t>Personal Accounts</t>
        </is>
      </c>
      <c r="D65" s="150" t="inlineStr">
        <is>
          <t>Personal Bank Statements (Year-End)</t>
        </is>
      </c>
      <c r="E65" s="150" t="inlineStr">
        <is>
          <t>Bank Portal</t>
        </is>
      </c>
      <c r="F65" s="150" t="inlineStr">
        <is>
          <t>2025_Personal_BankSummary.pdf</t>
        </is>
      </c>
      <c r="G65" s="150" t="n"/>
      <c r="H65" s="151" t="n"/>
      <c r="I65" s="150" t="inlineStr">
        <is>
          <t>If CPA requests</t>
        </is>
      </c>
    </row>
    <row r="66" ht="24" customHeight="1" s="138">
      <c r="A66" s="162" t="inlineStr">
        <is>
          <t>CPA DELIVERY PACKET</t>
        </is>
      </c>
      <c r="B66" s="143" t="n"/>
      <c r="C66" s="143" t="n"/>
      <c r="D66" s="143" t="n"/>
      <c r="E66" s="143" t="n"/>
      <c r="F66" s="143" t="n"/>
      <c r="G66" s="143" t="n"/>
      <c r="H66" s="143" t="n"/>
      <c r="I66" s="144" t="n"/>
    </row>
    <row r="67" ht="24" customHeight="1" s="138">
      <c r="A67" s="145">
        <f>FALSE()</f>
        <v/>
      </c>
      <c r="B67" s="146" t="inlineStr">
        <is>
          <t>Summary</t>
        </is>
      </c>
      <c r="C67" s="146" t="inlineStr">
        <is>
          <t>All Sources</t>
        </is>
      </c>
      <c r="D67" s="146" t="inlineStr">
        <is>
          <t>Master Income Summary</t>
        </is>
      </c>
      <c r="E67" s="146" t="inlineStr">
        <is>
          <t>This Spreadsheet</t>
        </is>
      </c>
      <c r="F67" s="146" t="inlineStr">
        <is>
          <t>2025_IncomeSummary.pdf</t>
        </is>
      </c>
      <c r="G67" s="146" t="n"/>
      <c r="H67" s="147" t="n"/>
      <c r="I67" s="146" t="n"/>
    </row>
    <row r="68" ht="24" customHeight="1" s="138">
      <c r="A68" s="149">
        <f>FALSE()</f>
        <v/>
      </c>
      <c r="B68" s="150" t="inlineStr">
        <is>
          <t>Summary</t>
        </is>
      </c>
      <c r="C68" s="150" t="inlineStr">
        <is>
          <t>All Sources</t>
        </is>
      </c>
      <c r="D68" s="150" t="inlineStr">
        <is>
          <t>Master Expense Summary</t>
        </is>
      </c>
      <c r="E68" s="150" t="inlineStr">
        <is>
          <t>This Spreadsheet</t>
        </is>
      </c>
      <c r="F68" s="150" t="inlineStr">
        <is>
          <t>2025_ExpenseSummary.pdf</t>
        </is>
      </c>
      <c r="G68" s="150" t="n"/>
      <c r="H68" s="151" t="n"/>
      <c r="I68" s="150" t="n"/>
    </row>
    <row r="69" ht="24" customHeight="1" s="138">
      <c r="A69" s="145">
        <f>FALSE()</f>
        <v/>
      </c>
      <c r="B69" s="146" t="inlineStr">
        <is>
          <t>Summary</t>
        </is>
      </c>
      <c r="C69" s="146" t="inlineStr">
        <is>
          <t>All</t>
        </is>
      </c>
      <c r="D69" s="146" t="inlineStr">
        <is>
          <t>Questions / Notes for CPA</t>
        </is>
      </c>
      <c r="E69" s="146" t="inlineStr">
        <is>
          <t>CPA Notes tab</t>
        </is>
      </c>
      <c r="F69" s="146" t="inlineStr">
        <is>
          <t>N/A</t>
        </is>
      </c>
      <c r="G69" s="146" t="n"/>
      <c r="H69" s="147" t="n"/>
      <c r="I69" s="146" t="inlineStr">
        <is>
          <t>LLC setup, depreciation, truck</t>
        </is>
      </c>
    </row>
    <row r="71" ht="15" customHeight="1" s="138">
      <c r="A71" s="163" t="inlineStr">
        <is>
          <t>INSTRUCTIONS: Upload to Google Sheets. Column A: Insert Checkbox. Column H: Paste Google Drive share links. CPA clicks links to view docs.</t>
        </is>
      </c>
    </row>
    <row r="73" ht="24" customHeight="1" s="138">
      <c r="A73" s="164" t="inlineStr">
        <is>
          <t>DOCUMENTS ALREADY UPLOADED (Ready for Google Drive)</t>
        </is>
      </c>
    </row>
    <row r="74" ht="24" customHeight="1" s="138">
      <c r="A74" s="145">
        <f>TRUE()</f>
        <v/>
      </c>
      <c r="B74" s="146" t="inlineStr">
        <is>
          <t>Business</t>
        </is>
      </c>
      <c r="C74" s="146" t="inlineStr">
        <is>
          <t>ASAP Credit Repair</t>
        </is>
      </c>
      <c r="D74" s="146" t="inlineStr">
        <is>
          <t>P&amp;L Statement (Full Year 2025)</t>
        </is>
      </c>
      <c r="E74" s="146" t="inlineStr">
        <is>
          <t>Already Uploaded</t>
        </is>
      </c>
      <c r="F74" s="146" t="inlineStr">
        <is>
          <t>ASAP_Credit_Repair_2025_PnL_CPA.docx</t>
        </is>
      </c>
      <c r="G74" s="146" t="n"/>
      <c r="H74" s="147" t="inlineStr">
        <is>
          <t>Paste Drive link here</t>
        </is>
      </c>
      <c r="I74" s="148" t="inlineStr">
        <is>
          <t>HAVE - Net Loss ($71,457)</t>
        </is>
      </c>
    </row>
    <row r="75" ht="24" customHeight="1" s="138">
      <c r="A75" s="149">
        <f>TRUE()</f>
        <v/>
      </c>
      <c r="B75" s="150" t="inlineStr">
        <is>
          <t>Business</t>
        </is>
      </c>
      <c r="C75" s="150" t="inlineStr">
        <is>
          <t>ASAP Credit Repair</t>
        </is>
      </c>
      <c r="D75" s="150" t="inlineStr">
        <is>
          <t>Chase Credit Card Statements (Full Year)</t>
        </is>
      </c>
      <c r="E75" s="150" t="inlineStr">
        <is>
          <t>Already Uploaded</t>
        </is>
      </c>
      <c r="F75" s="150" t="inlineStr">
        <is>
          <t>ilovepdf_merged.pdf (143 pages)</t>
        </is>
      </c>
      <c r="G75" s="150" t="n"/>
      <c r="H75" s="151" t="inlineStr">
        <is>
          <t>Paste Drive link here</t>
        </is>
      </c>
      <c r="I75" s="152" t="inlineStr">
        <is>
          <t>HAVE - Acct 5208, Feb25-Jan26</t>
        </is>
      </c>
    </row>
    <row r="76" ht="24" customHeight="1" s="138">
      <c r="A76" s="145">
        <f>TRUE()</f>
        <v/>
      </c>
      <c r="B76" s="146" t="inlineStr">
        <is>
          <t>Business</t>
        </is>
      </c>
      <c r="C76" s="146" t="inlineStr">
        <is>
          <t>ASAP Credit Repair</t>
        </is>
      </c>
      <c r="D76" s="146" t="inlineStr">
        <is>
          <t>Amex Business Platinum Spend (Full Year)</t>
        </is>
      </c>
      <c r="E76" s="146" t="inlineStr">
        <is>
          <t>Already Uploaded</t>
        </is>
      </c>
      <c r="F76" s="146" t="inlineStr">
        <is>
          <t>Amex_2025_Spend.csv (598 txns)</t>
        </is>
      </c>
      <c r="G76" s="146" t="n"/>
      <c r="H76" s="147" t="inlineStr">
        <is>
          <t>Paste Drive link here</t>
        </is>
      </c>
      <c r="I76" s="148" t="inlineStr">
        <is>
          <t>HAVE - Acct 41008, Full 2025</t>
        </is>
      </c>
    </row>
    <row r="78" ht="24" customHeight="1" s="138">
      <c r="A78" s="142" t="inlineStr">
        <is>
          <t>AUBREY W-2 INCOME (NEW - Added to Checklist)</t>
        </is>
      </c>
      <c r="B78" s="143" t="n"/>
      <c r="C78" s="143" t="n"/>
      <c r="D78" s="143" t="n"/>
      <c r="E78" s="143" t="n"/>
      <c r="F78" s="143" t="n"/>
      <c r="G78" s="143" t="n"/>
      <c r="H78" s="143" t="n"/>
      <c r="I78" s="144" t="n"/>
    </row>
    <row r="79" ht="24" customHeight="1" s="138">
      <c r="A79" s="145">
        <f>TRUE()</f>
        <v/>
      </c>
      <c r="B79" s="146" t="inlineStr">
        <is>
          <t>Personal</t>
        </is>
      </c>
      <c r="C79" s="146" t="inlineStr">
        <is>
          <t>Aubrey - Airrosti Rehab</t>
        </is>
      </c>
      <c r="D79" s="146" t="inlineStr">
        <is>
          <t>W-2 ($11,414.73 wages)</t>
        </is>
      </c>
      <c r="E79" s="146" t="inlineStr">
        <is>
          <t>Uploaded</t>
        </is>
      </c>
      <c r="F79" s="146" t="inlineStr">
        <is>
          <t>Aubrey_W-2_part_1.jpg</t>
        </is>
      </c>
      <c r="G79" s="146" t="n"/>
      <c r="H79" s="146" t="n"/>
      <c r="I79" s="148" t="inlineStr">
        <is>
          <t>HAVE - Fed $446.90 withheld</t>
        </is>
      </c>
    </row>
    <row r="80" ht="24" customHeight="1" s="138">
      <c r="A80" s="149">
        <f>TRUE()</f>
        <v/>
      </c>
      <c r="B80" s="150" t="inlineStr">
        <is>
          <t>Personal</t>
        </is>
      </c>
      <c r="C80" s="150" t="inlineStr">
        <is>
          <t>Aubrey - Airrosti Summit</t>
        </is>
      </c>
      <c r="D80" s="150" t="inlineStr">
        <is>
          <t>W-2 ($55,365.79 wages, CO)</t>
        </is>
      </c>
      <c r="E80" s="150" t="inlineStr">
        <is>
          <t>Uploaded</t>
        </is>
      </c>
      <c r="F80" s="150" t="inlineStr">
        <is>
          <t>Aubrey_W-2_part_2.jpg</t>
        </is>
      </c>
      <c r="G80" s="150" t="n"/>
      <c r="H80" s="150" t="n"/>
      <c r="I80" s="152" t="inlineStr">
        <is>
          <t>HAVE - CO tax $2,078 withheld</t>
        </is>
      </c>
    </row>
    <row r="82" ht="24" customHeight="1" s="138">
      <c r="A82" s="162" t="inlineStr">
        <is>
          <t>COLORADO STATE FILING (Aubrey has CO Income)</t>
        </is>
      </c>
    </row>
    <row r="83" ht="24" customHeight="1" s="138">
      <c r="A83" s="145">
        <f>FALSE()</f>
        <v/>
      </c>
      <c r="B83" s="146" t="inlineStr">
        <is>
          <t>State - CO</t>
        </is>
      </c>
      <c r="C83" s="146" t="inlineStr">
        <is>
          <t>Aubrey</t>
        </is>
      </c>
      <c r="D83" s="146" t="inlineStr">
        <is>
          <t>Colorado State Return</t>
        </is>
      </c>
      <c r="E83" s="146" t="inlineStr">
        <is>
          <t>CPA Prepares</t>
        </is>
      </c>
      <c r="F83" s="146" t="inlineStr">
        <is>
          <t>N/A</t>
        </is>
      </c>
      <c r="G83" s="146" t="n"/>
      <c r="H83" s="146" t="n"/>
      <c r="I83" s="165" t="inlineStr">
        <is>
          <t>CO wages $55,365 + tax $2,078 withheld</t>
        </is>
      </c>
    </row>
    <row r="85" ht="24" customHeight="1" s="138">
      <c r="A85" s="164" t="inlineStr">
        <is>
          <t>ALL DOCUMENTS RECEIVED SO FAR (8 documents uploaded)</t>
        </is>
      </c>
    </row>
    <row r="86" ht="24" customHeight="1" s="138">
      <c r="A86" s="145">
        <f>TRUE()</f>
        <v/>
      </c>
      <c r="B86" s="146" t="inlineStr">
        <is>
          <t>Business</t>
        </is>
      </c>
      <c r="C86" s="146" t="inlineStr">
        <is>
          <t>ASAP Credit Repair</t>
        </is>
      </c>
      <c r="D86" s="146" t="inlineStr">
        <is>
          <t>P&amp;L Statement (2025)</t>
        </is>
      </c>
      <c r="E86" s="146" t="inlineStr">
        <is>
          <t>Uploaded</t>
        </is>
      </c>
      <c r="F86" s="146" t="inlineStr">
        <is>
          <t>ASAP_Credit_Repair_2025_PnL_CPA.docx</t>
        </is>
      </c>
      <c r="G86" s="146" t="n"/>
      <c r="H86" s="146" t="n"/>
      <c r="I86" s="148" t="inlineStr">
        <is>
          <t>Net Loss ($71,457)</t>
        </is>
      </c>
    </row>
    <row r="87" ht="24" customHeight="1" s="138">
      <c r="A87" s="149">
        <f>TRUE()</f>
        <v/>
      </c>
      <c r="B87" s="150" t="inlineStr">
        <is>
          <t>Business</t>
        </is>
      </c>
      <c r="C87" s="150" t="inlineStr">
        <is>
          <t>ASAP Credit Repair</t>
        </is>
      </c>
      <c r="D87" s="150" t="inlineStr">
        <is>
          <t>Chase CC Stmts (143pg, full year)</t>
        </is>
      </c>
      <c r="E87" s="150" t="inlineStr">
        <is>
          <t>Uploaded</t>
        </is>
      </c>
      <c r="F87" s="150" t="inlineStr">
        <is>
          <t>ilovepdf_merged.pdf</t>
        </is>
      </c>
      <c r="G87" s="150" t="n"/>
      <c r="H87" s="150" t="n"/>
      <c r="I87" s="152" t="inlineStr">
        <is>
          <t>Acct 5208</t>
        </is>
      </c>
    </row>
    <row r="88" ht="24" customHeight="1" s="138">
      <c r="A88" s="145">
        <f>TRUE()</f>
        <v/>
      </c>
      <c r="B88" s="146" t="inlineStr">
        <is>
          <t>Business</t>
        </is>
      </c>
      <c r="C88" s="146" t="inlineStr">
        <is>
          <t>ASAP Credit Repair</t>
        </is>
      </c>
      <c r="D88" s="146" t="inlineStr">
        <is>
          <t>Amex Biz Platinum (598 txns)</t>
        </is>
      </c>
      <c r="E88" s="146" t="inlineStr">
        <is>
          <t>Uploaded</t>
        </is>
      </c>
      <c r="F88" s="146" t="inlineStr">
        <is>
          <t>Amex_2025_Spend.csv</t>
        </is>
      </c>
      <c r="G88" s="146" t="n"/>
      <c r="H88" s="146" t="n"/>
      <c r="I88" s="148" t="inlineStr">
        <is>
          <t>Acct 41008</t>
        </is>
      </c>
    </row>
    <row r="89" ht="24" customHeight="1" s="138">
      <c r="A89" s="149">
        <f>TRUE()</f>
        <v/>
      </c>
      <c r="B89" s="150" t="inlineStr">
        <is>
          <t>Personal</t>
        </is>
      </c>
      <c r="C89" s="150" t="inlineStr">
        <is>
          <t>Primary Home</t>
        </is>
      </c>
      <c r="D89" s="150" t="inlineStr">
        <is>
          <t>1098 + Account Activity</t>
        </is>
      </c>
      <c r="E89" s="150" t="inlineStr">
        <is>
          <t>Uploaded</t>
        </is>
      </c>
      <c r="F89" s="150" t="inlineStr">
        <is>
          <t>Tax_Document.pdf</t>
        </is>
      </c>
      <c r="G89" s="150" t="n"/>
      <c r="H89" s="150" t="n"/>
      <c r="I89" s="152" t="inlineStr">
        <is>
          <t>$35,905.92 mortgage interest</t>
        </is>
      </c>
    </row>
    <row r="90" ht="24" customHeight="1" s="138">
      <c r="A90" s="145">
        <f>TRUE()</f>
        <v/>
      </c>
      <c r="B90" s="146" t="inlineStr">
        <is>
          <t>Personal</t>
        </is>
      </c>
      <c r="C90" s="146" t="inlineStr">
        <is>
          <t>Primary Home</t>
        </is>
      </c>
      <c r="D90" s="146" t="inlineStr">
        <is>
          <t>Billing Stmt (tax + ins detail)</t>
        </is>
      </c>
      <c r="E90" s="146" t="inlineStr">
        <is>
          <t>Uploaded</t>
        </is>
      </c>
      <c r="F90" s="146" t="inlineStr">
        <is>
          <t>Primary_Home_Billing_Statement.pdf</t>
        </is>
      </c>
      <c r="G90" s="146" t="n"/>
      <c r="H90" s="146" t="n"/>
      <c r="I90" s="148" t="inlineStr">
        <is>
          <t>PropTax $4,755 + Ins $1,723</t>
        </is>
      </c>
    </row>
    <row r="91" ht="24" customHeight="1" s="138">
      <c r="A91" s="149">
        <f>TRUE()</f>
        <v/>
      </c>
      <c r="B91" s="150" t="inlineStr">
        <is>
          <t>Personal</t>
        </is>
      </c>
      <c r="C91" s="150" t="inlineStr">
        <is>
          <t>Joe W-2</t>
        </is>
      </c>
      <c r="D91" s="150" t="inlineStr">
        <is>
          <t>W-2 from ASAP / Paychex</t>
        </is>
      </c>
      <c r="E91" s="150" t="inlineStr">
        <is>
          <t>Uploaded</t>
        </is>
      </c>
      <c r="F91" s="150" t="inlineStr">
        <is>
          <t>Joe_Mahlow_W-2.pdf</t>
        </is>
      </c>
      <c r="G91" s="150" t="n"/>
      <c r="H91" s="150" t="n"/>
      <c r="I91" s="153" t="inlineStr">
        <is>
          <t>RESOLVED — Paychex PEO files W-3/940/941 directly. CPA verify via IRS transcript.</t>
        </is>
      </c>
    </row>
    <row r="92" ht="24" customHeight="1" s="138">
      <c r="A92" s="145">
        <f>TRUE()</f>
        <v/>
      </c>
      <c r="B92" s="146" t="inlineStr">
        <is>
          <t>Personal</t>
        </is>
      </c>
      <c r="C92" s="146" t="inlineStr">
        <is>
          <t>Aubrey W-2 #1</t>
        </is>
      </c>
      <c r="D92" s="146" t="inlineStr">
        <is>
          <t>W-2 Airrosti Rehab Centers</t>
        </is>
      </c>
      <c r="E92" s="146" t="inlineStr">
        <is>
          <t>Uploaded</t>
        </is>
      </c>
      <c r="F92" s="146" t="inlineStr">
        <is>
          <t>Aubrey_W-2_part_1.jpg</t>
        </is>
      </c>
      <c r="G92" s="146" t="n"/>
      <c r="H92" s="146" t="n"/>
      <c r="I92" s="148" t="inlineStr">
        <is>
          <t>$11,414.73 wages</t>
        </is>
      </c>
    </row>
    <row r="93" ht="24" customHeight="1" s="138">
      <c r="A93" s="149">
        <f>TRUE()</f>
        <v/>
      </c>
      <c r="B93" s="150" t="inlineStr">
        <is>
          <t>Personal</t>
        </is>
      </c>
      <c r="C93" s="150" t="inlineStr">
        <is>
          <t>Aubrey W-2 #2</t>
        </is>
      </c>
      <c r="D93" s="150" t="inlineStr">
        <is>
          <t>W-2 Airrosti Summit</t>
        </is>
      </c>
      <c r="E93" s="150" t="inlineStr">
        <is>
          <t>Uploaded</t>
        </is>
      </c>
      <c r="F93" s="150" t="inlineStr">
        <is>
          <t>Aubrey_W-2_part_2.jpg</t>
        </is>
      </c>
      <c r="G93" s="150" t="n"/>
      <c r="H93" s="150" t="n"/>
      <c r="I93" s="152" t="inlineStr">
        <is>
          <t>$55,365.79 wages + CO tax</t>
        </is>
      </c>
    </row>
    <row r="95" ht="24" customHeight="1" s="138">
      <c r="A95" s="164" t="inlineStr">
        <is>
          <t>ALL DOCUMENTS RECEIVED SO FAR (17 documents)</t>
        </is>
      </c>
      <c r="B95" s="143" t="n"/>
      <c r="C95" s="143" t="n"/>
      <c r="D95" s="143" t="n"/>
      <c r="E95" s="143" t="n"/>
      <c r="F95" s="143" t="n"/>
      <c r="G95" s="143" t="n"/>
      <c r="H95" s="143" t="n"/>
      <c r="I95" s="144" t="n"/>
    </row>
    <row r="96" ht="24" customHeight="1" s="138">
      <c r="A96" s="145">
        <f>TRUE()</f>
        <v/>
      </c>
      <c r="B96" s="146" t="inlineStr">
        <is>
          <t>Business</t>
        </is>
      </c>
      <c r="C96" s="146" t="inlineStr">
        <is>
          <t>ASAP Credit Repair</t>
        </is>
      </c>
      <c r="D96" s="146" t="inlineStr">
        <is>
          <t>P&amp;L Statement (2025)</t>
        </is>
      </c>
      <c r="E96" s="146" t="inlineStr">
        <is>
          <t>Uploaded</t>
        </is>
      </c>
      <c r="F96" s="146" t="n"/>
      <c r="G96" s="146" t="n"/>
      <c r="H96" s="146" t="n"/>
      <c r="I96" s="148" t="inlineStr">
        <is>
          <t>Net Loss ($71,457)</t>
        </is>
      </c>
    </row>
    <row r="97" ht="24" customHeight="1" s="138">
      <c r="A97" s="149">
        <f>TRUE()</f>
        <v/>
      </c>
      <c r="B97" s="150" t="inlineStr">
        <is>
          <t>Business</t>
        </is>
      </c>
      <c r="C97" s="150" t="inlineStr">
        <is>
          <t>ASAP Credit Repair</t>
        </is>
      </c>
      <c r="D97" s="150" t="inlineStr">
        <is>
          <t>P&amp;L Excel version</t>
        </is>
      </c>
      <c r="E97" s="150" t="inlineStr">
        <is>
          <t>Uploaded</t>
        </is>
      </c>
      <c r="F97" s="150" t="n"/>
      <c r="G97" s="150" t="n"/>
      <c r="H97" s="150" t="n"/>
      <c r="I97" s="152" t="inlineStr">
        <is>
          <t>ASAP_Credit_Repair_2025_PnL.xlsx</t>
        </is>
      </c>
    </row>
    <row r="98" ht="24" customHeight="1" s="138">
      <c r="A98" s="145">
        <f>TRUE()</f>
        <v/>
      </c>
      <c r="B98" s="146" t="inlineStr">
        <is>
          <t>Business</t>
        </is>
      </c>
      <c r="C98" s="146" t="inlineStr">
        <is>
          <t>ASAP Credit Repair</t>
        </is>
      </c>
      <c r="D98" s="146" t="inlineStr">
        <is>
          <t>Chase CC Stmts (143pg)</t>
        </is>
      </c>
      <c r="E98" s="146" t="inlineStr">
        <is>
          <t>Uploaded</t>
        </is>
      </c>
      <c r="F98" s="146" t="n"/>
      <c r="G98" s="146" t="n"/>
      <c r="H98" s="146" t="n"/>
      <c r="I98" s="148" t="inlineStr">
        <is>
          <t>Acct 5208</t>
        </is>
      </c>
    </row>
    <row r="99" ht="24" customHeight="1" s="138">
      <c r="A99" s="149">
        <f>TRUE()</f>
        <v/>
      </c>
      <c r="B99" s="150" t="inlineStr">
        <is>
          <t>Business</t>
        </is>
      </c>
      <c r="C99" s="150" t="inlineStr">
        <is>
          <t>ASAP Credit Repair</t>
        </is>
      </c>
      <c r="D99" s="150" t="inlineStr">
        <is>
          <t>Amex Biz Platinum (598 txns)</t>
        </is>
      </c>
      <c r="E99" s="150" t="inlineStr">
        <is>
          <t>Uploaded</t>
        </is>
      </c>
      <c r="F99" s="150" t="n"/>
      <c r="G99" s="150" t="n"/>
      <c r="H99" s="150" t="n"/>
      <c r="I99" s="152" t="inlineStr">
        <is>
          <t>Acct 41008</t>
        </is>
      </c>
    </row>
    <row r="100" ht="24" customHeight="1" s="138">
      <c r="A100" s="145">
        <f>TRUE()</f>
        <v/>
      </c>
      <c r="B100" s="146" t="inlineStr">
        <is>
          <t>Personal</t>
        </is>
      </c>
      <c r="C100" s="146" t="inlineStr">
        <is>
          <t>Primary Home</t>
        </is>
      </c>
      <c r="D100" s="146" t="inlineStr">
        <is>
          <t>1098 + Account Activity</t>
        </is>
      </c>
      <c r="E100" s="146" t="inlineStr">
        <is>
          <t>Uploaded</t>
        </is>
      </c>
      <c r="F100" s="146" t="n"/>
      <c r="G100" s="146" t="n"/>
      <c r="H100" s="146" t="n"/>
      <c r="I100" s="148" t="inlineStr">
        <is>
          <t>$35,905.92 interest</t>
        </is>
      </c>
    </row>
    <row r="101" ht="24" customHeight="1" s="138">
      <c r="A101" s="149">
        <f>TRUE()</f>
        <v/>
      </c>
      <c r="B101" s="150" t="inlineStr">
        <is>
          <t>Personal</t>
        </is>
      </c>
      <c r="C101" s="150" t="inlineStr">
        <is>
          <t>Primary Home</t>
        </is>
      </c>
      <c r="D101" s="150" t="inlineStr">
        <is>
          <t>Billing Stmt (tax + ins)</t>
        </is>
      </c>
      <c r="E101" s="150" t="inlineStr">
        <is>
          <t>Uploaded</t>
        </is>
      </c>
      <c r="F101" s="150" t="n"/>
      <c r="G101" s="150" t="n"/>
      <c r="H101" s="150" t="n"/>
      <c r="I101" s="152" t="inlineStr">
        <is>
          <t>Tax $4,755 + Ins $1,723</t>
        </is>
      </c>
    </row>
    <row r="102" ht="24" customHeight="1" s="138">
      <c r="A102" s="145">
        <f>TRUE()</f>
        <v/>
      </c>
      <c r="B102" s="146" t="inlineStr">
        <is>
          <t>Personal</t>
        </is>
      </c>
      <c r="C102" s="146" t="inlineStr">
        <is>
          <t>Joe W-2</t>
        </is>
      </c>
      <c r="D102" s="146" t="inlineStr">
        <is>
          <t>W-2 ASAP/Paychex</t>
        </is>
      </c>
      <c r="E102" s="146" t="inlineStr">
        <is>
          <t>Uploaded</t>
        </is>
      </c>
      <c r="F102" s="146" t="n"/>
      <c r="G102" s="146" t="n"/>
      <c r="H102" s="146" t="n"/>
      <c r="I102" s="153" t="inlineStr">
        <is>
          <t>RESOLVED — Paychex PEO files W-3/940/941 directly. CPA verify via IRS transcript.</t>
        </is>
      </c>
    </row>
    <row r="103" ht="24" customHeight="1" s="138">
      <c r="A103" s="149">
        <f>TRUE()</f>
        <v/>
      </c>
      <c r="B103" s="150" t="inlineStr">
        <is>
          <t>Personal</t>
        </is>
      </c>
      <c r="C103" s="150" t="inlineStr">
        <is>
          <t>Aubrey W-2 #1</t>
        </is>
      </c>
      <c r="D103" s="150" t="inlineStr">
        <is>
          <t>Airrosti Rehab Centers</t>
        </is>
      </c>
      <c r="E103" s="150" t="inlineStr">
        <is>
          <t>Uploaded</t>
        </is>
      </c>
      <c r="F103" s="150" t="n"/>
      <c r="G103" s="150" t="n"/>
      <c r="H103" s="150" t="n"/>
      <c r="I103" s="152" t="inlineStr">
        <is>
          <t>$11,414.73</t>
        </is>
      </c>
    </row>
    <row r="104" ht="24" customHeight="1" s="138">
      <c r="A104" s="145">
        <f>TRUE()</f>
        <v/>
      </c>
      <c r="B104" s="146" t="inlineStr">
        <is>
          <t>Personal</t>
        </is>
      </c>
      <c r="C104" s="146" t="inlineStr">
        <is>
          <t>Aubrey W-2 #2</t>
        </is>
      </c>
      <c r="D104" s="146" t="inlineStr">
        <is>
          <t>Airrosti Summit</t>
        </is>
      </c>
      <c r="E104" s="146" t="inlineStr">
        <is>
          <t>Uploaded</t>
        </is>
      </c>
      <c r="F104" s="146" t="n"/>
      <c r="G104" s="146" t="n"/>
      <c r="H104" s="146" t="n"/>
      <c r="I104" s="148" t="inlineStr">
        <is>
          <t>$55,365.79 + CO tax</t>
        </is>
      </c>
    </row>
    <row r="105" ht="24" customHeight="1" s="138">
      <c r="A105" s="149">
        <f>TRUE()</f>
        <v/>
      </c>
      <c r="B105" s="150" t="inlineStr">
        <is>
          <t>Rental</t>
        </is>
      </c>
      <c r="C105" s="150" t="inlineStr">
        <is>
          <t>Cypress</t>
        </is>
      </c>
      <c r="D105" s="150" t="inlineStr">
        <is>
          <t>1098 (TX Dow Employees CU)</t>
        </is>
      </c>
      <c r="E105" s="150" t="inlineStr">
        <is>
          <t>Uploaded</t>
        </is>
      </c>
      <c r="F105" s="150" t="n"/>
      <c r="G105" s="150" t="n"/>
      <c r="H105" s="150" t="n"/>
      <c r="I105" s="152" t="inlineStr">
        <is>
          <t>$7,525.96 int + $4,416 tax</t>
        </is>
      </c>
    </row>
    <row r="106" ht="24" customHeight="1" s="138">
      <c r="A106" s="145">
        <f>TRUE()</f>
        <v/>
      </c>
      <c r="B106" s="146" t="inlineStr">
        <is>
          <t>Rental</t>
        </is>
      </c>
      <c r="C106" s="146" t="inlineStr">
        <is>
          <t>Cypress</t>
        </is>
      </c>
      <c r="D106" s="146" t="inlineStr">
        <is>
          <t>HOA Statement (Lone Oak)</t>
        </is>
      </c>
      <c r="E106" s="146" t="inlineStr">
        <is>
          <t>Uploaded</t>
        </is>
      </c>
      <c r="F106" s="146" t="n"/>
      <c r="G106" s="146" t="n"/>
      <c r="H106" s="146" t="n"/>
      <c r="I106" s="148" t="inlineStr">
        <is>
          <t>$832.25/yr, $0 balance</t>
        </is>
      </c>
    </row>
    <row r="107" ht="24" customHeight="1" s="138">
      <c r="A107" s="149">
        <f>TRUE()</f>
        <v/>
      </c>
      <c r="B107" s="150" t="inlineStr">
        <is>
          <t>Rental</t>
        </is>
      </c>
      <c r="C107" s="150" t="inlineStr">
        <is>
          <t>Briarwest</t>
        </is>
      </c>
      <c r="D107" s="150" t="inlineStr">
        <is>
          <t>1098 (New American Funding)</t>
        </is>
      </c>
      <c r="E107" s="150" t="inlineStr">
        <is>
          <t>Uploaded</t>
        </is>
      </c>
      <c r="F107" s="150" t="n"/>
      <c r="G107" s="150" t="n"/>
      <c r="H107" s="150" t="n"/>
      <c r="I107" s="152" t="inlineStr">
        <is>
          <t>$3,837.79 int + $1,729 tax</t>
        </is>
      </c>
    </row>
    <row r="108" ht="24" customHeight="1" s="138">
      <c r="A108" s="145">
        <f>TRUE()</f>
        <v/>
      </c>
      <c r="B108" s="146" t="inlineStr">
        <is>
          <t>Rental</t>
        </is>
      </c>
      <c r="C108" s="146" t="inlineStr">
        <is>
          <t>Briarwest</t>
        </is>
      </c>
      <c r="D108" s="146" t="inlineStr">
        <is>
          <t>Billing Statement (NAF)</t>
        </is>
      </c>
      <c r="E108" s="146" t="inlineStr">
        <is>
          <t>Uploaded</t>
        </is>
      </c>
      <c r="F108" s="146" t="n"/>
      <c r="G108" s="146" t="n"/>
      <c r="H108" s="146" t="n"/>
      <c r="I108" s="148" t="inlineStr">
        <is>
          <t>$947.73/mo, 3.625%</t>
        </is>
      </c>
    </row>
    <row r="109" ht="24" customHeight="1" s="138">
      <c r="A109" s="149">
        <f>TRUE()</f>
        <v/>
      </c>
      <c r="B109" s="150" t="inlineStr">
        <is>
          <t>Rental</t>
        </is>
      </c>
      <c r="C109" s="150" t="inlineStr">
        <is>
          <t>Both</t>
        </is>
      </c>
      <c r="D109" s="150" t="inlineStr">
        <is>
          <t>Avail 1099-K</t>
        </is>
      </c>
      <c r="E109" s="150" t="inlineStr">
        <is>
          <t>Uploaded</t>
        </is>
      </c>
      <c r="F109" s="150" t="n"/>
      <c r="G109" s="150" t="n"/>
      <c r="H109" s="150" t="n"/>
      <c r="I109" s="152" t="inlineStr">
        <is>
          <t>$49,225 gross</t>
        </is>
      </c>
    </row>
    <row r="110" ht="24" customHeight="1" s="138">
      <c r="A110" s="145">
        <f>TRUE()</f>
        <v/>
      </c>
      <c r="B110" s="146" t="inlineStr">
        <is>
          <t>Rental</t>
        </is>
      </c>
      <c r="C110" s="146" t="inlineStr">
        <is>
          <t>Both</t>
        </is>
      </c>
      <c r="D110" s="146" t="inlineStr">
        <is>
          <t>Avail Received Payments CSV</t>
        </is>
      </c>
      <c r="E110" s="146" t="inlineStr">
        <is>
          <t>Uploaded</t>
        </is>
      </c>
      <c r="F110" s="146" t="n"/>
      <c r="G110" s="146" t="n"/>
      <c r="H110" s="146" t="n"/>
      <c r="I110" s="148" t="inlineStr">
        <is>
          <t>Actual: $134,295 total</t>
        </is>
      </c>
    </row>
    <row r="111" ht="24" customHeight="1" s="138">
      <c r="A111" s="149">
        <f>TRUE()</f>
        <v/>
      </c>
      <c r="B111" s="150" t="inlineStr">
        <is>
          <t>Rental</t>
        </is>
      </c>
      <c r="C111" s="150" t="inlineStr">
        <is>
          <t>Cypress</t>
        </is>
      </c>
      <c r="D111" s="150" t="inlineStr">
        <is>
          <t>Repairs 2025</t>
        </is>
      </c>
      <c r="E111" s="150" t="inlineStr">
        <is>
          <t>Confirmed</t>
        </is>
      </c>
      <c r="F111" s="150" t="n"/>
      <c r="G111" s="150" t="n"/>
      <c r="H111" s="150" t="n"/>
      <c r="I111" s="152" t="inlineStr">
        <is>
          <t>$0 — no repairs</t>
        </is>
      </c>
    </row>
    <row r="112" ht="24" customHeight="1" s="138">
      <c r="A112" s="145">
        <f>TRUE()</f>
        <v/>
      </c>
      <c r="B112" s="146" t="inlineStr">
        <is>
          <t>Business</t>
        </is>
      </c>
      <c r="C112" s="146" t="inlineStr">
        <is>
          <t>ASAP Credit Repair</t>
        </is>
      </c>
      <c r="D112" s="146" t="inlineStr">
        <is>
          <t>Truck Purchase Agreement</t>
        </is>
      </c>
      <c r="E112" s="146" t="inlineStr">
        <is>
          <t>Uploaded</t>
        </is>
      </c>
      <c r="F112" s="146" t="n"/>
      <c r="G112" s="146" t="n"/>
      <c r="H112" s="146" t="n"/>
      <c r="I112" s="148" t="inlineStr">
        <is>
          <t>$54,990</t>
        </is>
      </c>
    </row>
    <row r="113" ht="15" customHeight="1" s="138">
      <c r="A113" s="166" t="inlineStr">
        <is>
          <t>ALL DOCUMENTS RECEIVED (BATCH 3 — 39 total confirmed)</t>
        </is>
      </c>
    </row>
    <row r="114" ht="15" customHeight="1" s="138">
      <c r="A114" s="137">
        <f>TRUE()</f>
        <v/>
      </c>
      <c r="B114" s="137" t="inlineStr">
        <is>
          <t>Rental</t>
        </is>
      </c>
      <c r="C114" s="137" t="inlineStr">
        <is>
          <t>Cypress</t>
        </is>
      </c>
      <c r="D114" s="137" t="inlineStr">
        <is>
          <t>Landlord Insurance — SageSure DP3</t>
        </is>
      </c>
      <c r="E114" s="137" t="inlineStr">
        <is>
          <t>Uploaded</t>
        </is>
      </c>
      <c r="I114" s="137" t="inlineStr">
        <is>
          <t>$3,510/yr Policy TXFK91378600</t>
        </is>
      </c>
    </row>
    <row r="115" ht="15" customHeight="1" s="138">
      <c r="A115" s="137">
        <f>TRUE()</f>
        <v/>
      </c>
      <c r="B115" s="137" t="inlineStr">
        <is>
          <t>Rental</t>
        </is>
      </c>
      <c r="C115" s="137" t="inlineStr">
        <is>
          <t>Briarwest</t>
        </is>
      </c>
      <c r="D115" s="137" t="inlineStr">
        <is>
          <t>Landlord Insurance — SageSure DP3</t>
        </is>
      </c>
      <c r="E115" s="137" t="inlineStr">
        <is>
          <t>Uploaded</t>
        </is>
      </c>
      <c r="I115" s="137" t="inlineStr">
        <is>
          <t>$2,679/yr Policy TXFK91597100</t>
        </is>
      </c>
    </row>
    <row r="116" ht="15" customHeight="1" s="138">
      <c r="A116" s="137">
        <f>TRUE()</f>
        <v/>
      </c>
      <c r="B116" s="137" t="inlineStr">
        <is>
          <t>Personal</t>
        </is>
      </c>
      <c r="C116" s="137" t="inlineStr">
        <is>
          <t>Joe</t>
        </is>
      </c>
      <c r="D116" s="137" t="inlineStr">
        <is>
          <t>WF Personal Bank Statements (138pp)</t>
        </is>
      </c>
      <c r="E116" s="137" t="inlineStr">
        <is>
          <t>Uploaded</t>
        </is>
      </c>
      <c r="I116" s="137" t="inlineStr">
        <is>
          <t>Full year — shows water, pool, lawn, Bridgecrest, Zelle payments</t>
        </is>
      </c>
    </row>
    <row r="117" ht="15" customHeight="1" s="138">
      <c r="A117" s="137">
        <f>TRUE()</f>
        <v/>
      </c>
      <c r="B117" s="137" t="inlineStr">
        <is>
          <t>Rental</t>
        </is>
      </c>
      <c r="C117" s="137" t="inlineStr">
        <is>
          <t>Cypress</t>
        </is>
      </c>
      <c r="D117" s="137" t="inlineStr">
        <is>
          <t>Lone Oak HOA Screenshot</t>
        </is>
      </c>
      <c r="E117" s="137" t="inlineStr">
        <is>
          <t>Uploaded</t>
        </is>
      </c>
      <c r="I117" s="137" t="inlineStr">
        <is>
          <t>$832.25/yr, $0 balance</t>
        </is>
      </c>
    </row>
    <row r="118" ht="15" customHeight="1" s="138">
      <c r="A118" s="137">
        <f>TRUE()</f>
        <v/>
      </c>
      <c r="B118" s="137" t="inlineStr">
        <is>
          <t>Rental</t>
        </is>
      </c>
      <c r="C118" s="137" t="inlineStr">
        <is>
          <t>Briarwest</t>
        </is>
      </c>
      <c r="D118" s="137" t="inlineStr">
        <is>
          <t>Autumn Chase HOA Screenshot</t>
        </is>
      </c>
      <c r="E118" s="137" t="inlineStr">
        <is>
          <t>Uploaded</t>
        </is>
      </c>
      <c r="I118" s="137" t="inlineStr">
        <is>
          <t>$335/mo = $4,020/yr (corrected from $385)</t>
        </is>
      </c>
    </row>
    <row r="119" ht="15" customHeight="1" s="138">
      <c r="A119" s="137">
        <f>TRUE()</f>
        <v/>
      </c>
      <c r="B119" s="137" t="inlineStr">
        <is>
          <t>Rental</t>
        </is>
      </c>
      <c r="C119" s="137" t="inlineStr">
        <is>
          <t>Cypress</t>
        </is>
      </c>
      <c r="D119" s="137" t="inlineStr">
        <is>
          <t>Living Fresh Water Pool Screenshot</t>
        </is>
      </c>
      <c r="E119" s="137" t="inlineStr">
        <is>
          <t>Uploaded</t>
        </is>
      </c>
      <c r="I119" s="137" t="inlineStr">
        <is>
          <t>$180/mo = $2,160/yr (2025: 10 months = $1,800)</t>
        </is>
      </c>
    </row>
    <row r="120" ht="15" customHeight="1" s="138">
      <c r="A120" s="137">
        <f>TRUE()</f>
        <v/>
      </c>
      <c r="B120" s="137" t="inlineStr">
        <is>
          <t>Personal</t>
        </is>
      </c>
      <c r="C120" s="137" t="inlineStr">
        <is>
          <t>Erie Home</t>
        </is>
      </c>
      <c r="D120" s="137" t="inlineStr">
        <is>
          <t>Erie Closing Disclosure (5 pages)</t>
        </is>
      </c>
      <c r="E120" s="137" t="inlineStr">
        <is>
          <t>Uploaded</t>
        </is>
      </c>
      <c r="I120" s="137" t="inlineStr">
        <is>
          <t>$849,950 purchase, $16,944.60 points, $155,160.97 cash to close</t>
        </is>
      </c>
    </row>
    <row r="121" ht="15" customHeight="1" s="138">
      <c r="A121" s="137">
        <f>TRUE()</f>
        <v/>
      </c>
      <c r="B121" s="137" t="inlineStr">
        <is>
          <t>Personal</t>
        </is>
      </c>
      <c r="C121" s="137" t="inlineStr">
        <is>
          <t>Erie Home</t>
        </is>
      </c>
      <c r="D121" s="137" t="inlineStr">
        <is>
          <t>HomeAmerican Mortgage Welcome Letter</t>
        </is>
      </c>
      <c r="E121" s="137" t="inlineStr">
        <is>
          <t>Uploaded</t>
        </is>
      </c>
      <c r="I121" s="137" t="inlineStr">
        <is>
          <t>Confirms loan transfer to PHH</t>
        </is>
      </c>
    </row>
    <row r="122" ht="15" customHeight="1" s="138">
      <c r="A122" s="137">
        <f>TRUE()</f>
        <v/>
      </c>
      <c r="B122" s="137" t="inlineStr">
        <is>
          <t>Personal</t>
        </is>
      </c>
      <c r="C122" s="137" t="inlineStr">
        <is>
          <t>Erie Home</t>
        </is>
      </c>
      <c r="D122" s="137" t="inlineStr">
        <is>
          <t>Erie Buyer's Settlement Statement (Guardian Title)</t>
        </is>
      </c>
      <c r="E122" s="137" t="inlineStr">
        <is>
          <t>Uploaded</t>
        </is>
      </c>
      <c r="I122" s="137" t="inlineStr">
        <is>
          <t>Confirms all closing figures</t>
        </is>
      </c>
    </row>
    <row r="123" ht="15" customHeight="1" s="138">
      <c r="A123" s="137">
        <f>TRUE()</f>
        <v/>
      </c>
      <c r="B123" s="137" t="inlineStr">
        <is>
          <t>Business</t>
        </is>
      </c>
      <c r="C123" s="137" t="inlineStr">
        <is>
          <t>ASAP Credit Repair</t>
        </is>
      </c>
      <c r="D123" s="137" t="inlineStr">
        <is>
          <t>Balance Sheet 03/03/2026</t>
        </is>
      </c>
      <c r="E123" s="137" t="inlineStr">
        <is>
          <t>Uploaded</t>
        </is>
      </c>
      <c r="I123" s="137" t="inlineStr">
        <is>
          <t>Assets $771K, Liabilities $26K, Equity $745K</t>
        </is>
      </c>
    </row>
    <row r="124" ht="15" customHeight="1" s="138">
      <c r="A124" s="137">
        <f>TRUE()</f>
        <v/>
      </c>
      <c r="B124" s="137" t="inlineStr">
        <is>
          <t>Personal</t>
        </is>
      </c>
      <c r="C124" s="137" t="inlineStr">
        <is>
          <t>Joe</t>
        </is>
      </c>
      <c r="D124" s="137" t="inlineStr">
        <is>
          <t>Truck Insurance — Progressive</t>
        </is>
      </c>
      <c r="E124" s="137" t="inlineStr">
        <is>
          <t>Uploaded</t>
        </is>
      </c>
      <c r="I124" s="137" t="inlineStr">
        <is>
          <t>$663/yr Sierra + $410 4Runner = $1,297 total</t>
        </is>
      </c>
    </row>
    <row r="125" ht="15" customHeight="1" s="138">
      <c r="A125" s="137">
        <f>TRUE()</f>
        <v/>
      </c>
      <c r="B125" s="137" t="inlineStr">
        <is>
          <t>Business</t>
        </is>
      </c>
      <c r="C125" s="137" t="inlineStr">
        <is>
          <t>ASAP Credit Repair</t>
        </is>
      </c>
      <c r="D125" s="137" t="inlineStr">
        <is>
          <t>1099-NEC — John D Mahlow</t>
        </is>
      </c>
      <c r="E125" s="137" t="inlineStr">
        <is>
          <t>Uploaded</t>
        </is>
      </c>
      <c r="I125" s="137" t="inlineStr">
        <is>
          <t>$96,000 nonemployee comp, 5211 Brookglen Dr Houston TX</t>
        </is>
      </c>
    </row>
    <row r="126" ht="15" customHeight="1" s="138">
      <c r="A126" s="137">
        <f>TRUE()</f>
        <v/>
      </c>
      <c r="B126" s="137" t="inlineStr">
        <is>
          <t>Personal</t>
        </is>
      </c>
      <c r="C126" s="137" t="inlineStr">
        <is>
          <t>Aubrey</t>
        </is>
      </c>
      <c r="D126" s="137" t="inlineStr">
        <is>
          <t>1098-E Student Loan Interest</t>
        </is>
      </c>
      <c r="E126" s="137" t="inlineStr">
        <is>
          <t>Uploaded</t>
        </is>
      </c>
      <c r="I126" s="137" t="inlineStr">
        <is>
          <t>$3,670.20 — Aubrey L Fearn, Acct E645919452</t>
        </is>
      </c>
    </row>
    <row r="127" ht="15" customHeight="1" s="138">
      <c r="A127" s="137">
        <f>TRUE()</f>
        <v/>
      </c>
      <c r="B127" s="137" t="inlineStr">
        <is>
          <t>Personal</t>
        </is>
      </c>
      <c r="C127" s="137" t="inlineStr">
        <is>
          <t>Erie Home</t>
        </is>
      </c>
      <c r="D127" s="137" t="inlineStr">
        <is>
          <t>1098 — HomeAmerican ($0 interest, points confirmed)</t>
        </is>
      </c>
      <c r="E127" s="137" t="inlineStr">
        <is>
          <t>Uploaded</t>
        </is>
      </c>
      <c r="I127" s="137" t="inlineStr">
        <is>
          <t>$0 interest (loan transferred), $16,944.60 points CONFIRMED</t>
        </is>
      </c>
    </row>
    <row r="128" ht="15" customHeight="1" s="138">
      <c r="A128" s="137">
        <f>TRUE()</f>
        <v/>
      </c>
      <c r="B128" s="137" t="inlineStr">
        <is>
          <t>Personal</t>
        </is>
      </c>
      <c r="C128" s="137" t="inlineStr">
        <is>
          <t>Aubrey</t>
        </is>
      </c>
      <c r="D128" s="137" t="inlineStr">
        <is>
          <t>1099-NEC — Elevated Chiropractic LLC</t>
        </is>
      </c>
      <c r="E128" s="137" t="inlineStr">
        <is>
          <t>Uploaded</t>
        </is>
      </c>
      <c r="I128" s="137" t="inlineStr">
        <is>
          <t>$1,500 — Broomfield CO, needs Sch C + SE tax</t>
        </is>
      </c>
    </row>
    <row r="129" ht="15" customHeight="1" s="138">
      <c r="A129" s="137">
        <f>TRUE()</f>
        <v/>
      </c>
      <c r="B129" s="137" t="inlineStr">
        <is>
          <t>Rental</t>
        </is>
      </c>
      <c r="C129" s="137" t="inlineStr">
        <is>
          <t>Briarwest</t>
        </is>
      </c>
      <c r="D129" s="137" t="inlineStr">
        <is>
          <t>1098 Annual Statement (full escrow detail)</t>
        </is>
      </c>
      <c r="E129" s="137" t="inlineStr">
        <is>
          <t>Uploaded</t>
        </is>
      </c>
      <c r="I129" s="137" t="inlineStr">
        <is>
          <t>Principal $107,019, tax $1,729.86, escrow ins $5,384 + $2,800 refund</t>
        </is>
      </c>
    </row>
    <row r="130" ht="15" customHeight="1" s="138">
      <c r="A130" s="137">
        <f>TRUE()</f>
        <v/>
      </c>
      <c r="B130" s="137" t="inlineStr">
        <is>
          <t>Business</t>
        </is>
      </c>
      <c r="C130" s="137" t="inlineStr">
        <is>
          <t>Identity Command</t>
        </is>
      </c>
      <c r="D130" s="137" t="inlineStr">
        <is>
          <t>1099-NEC from Proxi Independent Group</t>
        </is>
      </c>
      <c r="E130" s="137" t="inlineStr">
        <is>
          <t>Uploaded</t>
        </is>
      </c>
      <c r="I130" s="137" t="inlineStr">
        <is>
          <t>$6,311 — goes on Identity Command LLC return, NOT personal</t>
        </is>
      </c>
    </row>
    <row r="131" ht="15" customHeight="1" s="138">
      <c r="A131" s="137">
        <f>TRUE()</f>
        <v/>
      </c>
      <c r="B131" s="137" t="inlineStr">
        <is>
          <t>Personal</t>
        </is>
      </c>
      <c r="C131" s="137" t="inlineStr">
        <is>
          <t>Crypto</t>
        </is>
      </c>
      <c r="D131" s="137" t="inlineStr">
        <is>
          <t>Coinbase 1099-DA</t>
        </is>
      </c>
      <c r="E131" s="137" t="inlineStr">
        <is>
          <t>Uploaded</t>
        </is>
      </c>
      <c r="I131" s="137" t="inlineStr">
        <is>
          <t>ST gain $131.24, LT loss -$5,191.79, unknown basis $2,812.08</t>
        </is>
      </c>
    </row>
    <row r="132" ht="15" customHeight="1" s="138">
      <c r="A132" s="137">
        <f>TRUE()</f>
        <v/>
      </c>
      <c r="B132" s="137" t="inlineStr">
        <is>
          <t>Business</t>
        </is>
      </c>
      <c r="C132" s="137" t="inlineStr">
        <is>
          <t>ASAP Credit Repair</t>
        </is>
      </c>
      <c r="D132" s="137" t="inlineStr">
        <is>
          <t>Employee W-2 ZIP (8 employees)</t>
        </is>
      </c>
      <c r="E132" s="137" t="inlineStr">
        <is>
          <t>Uploaded</t>
        </is>
      </c>
      <c r="I132" s="137" t="inlineStr">
        <is>
          <t>Broadstreet, Ceja Gonzalez, De La Rosa, Lemus, Mahlow, Martinez, Navarro, Sanchez</t>
        </is>
      </c>
    </row>
    <row r="134" ht="15" customHeight="1" s="138">
      <c r="A134" s="167" t="inlineStr">
        <is>
          <t>STILL NEEDED (3 critical)</t>
        </is>
      </c>
    </row>
    <row r="135" ht="15" customHeight="1" s="138">
      <c r="A135" s="137">
        <f>FALSE()</f>
        <v/>
      </c>
      <c r="B135" s="137" t="inlineStr">
        <is>
          <t>Payroll</t>
        </is>
      </c>
      <c r="C135" s="137" t="inlineStr">
        <is>
          <t>ASAP Credit Repair</t>
        </is>
      </c>
      <c r="D135" s="137" t="inlineStr">
        <is>
          <t>W-3 Transmittal</t>
        </is>
      </c>
      <c r="E135" s="137" t="inlineStr">
        <is>
          <t>Paychex Portal &gt; Tax Documents</t>
        </is>
      </c>
      <c r="I135" s="168" t="inlineStr">
        <is>
          <t>RESOLVED — Paychex PEO files W-3/940/941 directly. CPA verify via IRS transcript.</t>
        </is>
      </c>
    </row>
    <row r="136" ht="15" customHeight="1" s="138">
      <c r="A136" s="137">
        <f>FALSE()</f>
        <v/>
      </c>
      <c r="B136" s="137" t="inlineStr">
        <is>
          <t>Payroll</t>
        </is>
      </c>
      <c r="C136" s="137" t="inlineStr">
        <is>
          <t>ASAP Credit Repair</t>
        </is>
      </c>
      <c r="D136" s="137" t="inlineStr">
        <is>
          <t>Form 940 (FUTA Annual)</t>
        </is>
      </c>
      <c r="E136" s="137" t="inlineStr">
        <is>
          <t>Paychex Portal &gt; Tax Documents</t>
        </is>
      </c>
      <c r="I136" s="168" t="inlineStr">
        <is>
          <t>RESOLVED — Paychex PEO files W-3/940/941 directly. CPA verify via IRS transcript.</t>
        </is>
      </c>
    </row>
    <row r="137" ht="15" customHeight="1" s="138">
      <c r="A137" s="137">
        <f>FALSE()</f>
        <v/>
      </c>
      <c r="B137" s="137" t="inlineStr">
        <is>
          <t>Payroll</t>
        </is>
      </c>
      <c r="C137" s="137" t="inlineStr">
        <is>
          <t>ASAP Credit Repair</t>
        </is>
      </c>
      <c r="D137" s="137" t="inlineStr">
        <is>
          <t>Q1-Q4 Form 941s</t>
        </is>
      </c>
      <c r="E137" s="137" t="inlineStr">
        <is>
          <t>Paychex Portal &gt; Tax Documents</t>
        </is>
      </c>
      <c r="I137" s="168" t="inlineStr">
        <is>
          <t>RESOLVED — Paychex PEO files W-3/940/941 directly. CPA verify via IRS transcript.</t>
        </is>
      </c>
    </row>
  </sheetData>
  <mergeCells count="17">
    <mergeCell ref="A29:I29"/>
    <mergeCell ref="A59:I59"/>
    <mergeCell ref="A95:I95"/>
    <mergeCell ref="A41:I41"/>
    <mergeCell ref="A2:I2"/>
    <mergeCell ref="A11:I11"/>
    <mergeCell ref="A63:I63"/>
    <mergeCell ref="A5:I5"/>
    <mergeCell ref="A46:I46"/>
    <mergeCell ref="A20:I20"/>
    <mergeCell ref="A13:I13"/>
    <mergeCell ref="A66:I66"/>
    <mergeCell ref="A1:I1"/>
    <mergeCell ref="A9:I9"/>
    <mergeCell ref="A27:I27"/>
    <mergeCell ref="A35:I35"/>
    <mergeCell ref="A78:I7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B2A4A"/>
    <outlinePr summaryBelow="1" summaryRight="1"/>
    <pageSetUpPr fitToPage="0"/>
  </sheetPr>
  <dimension ref="A1:E12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37" min="1" max="1"/>
    <col width="12" customWidth="1" style="137" min="2" max="2"/>
    <col width="20" customWidth="1" style="137" min="3" max="3"/>
    <col width="16" customWidth="1" style="137" min="4" max="4"/>
    <col width="38" customWidth="1" style="137" min="5" max="5"/>
  </cols>
  <sheetData>
    <row r="1" ht="31.5" customHeight="1" s="138">
      <c r="A1" s="139" t="inlineStr">
        <is>
          <t>2025 Tax Overview - All Income Sources</t>
        </is>
      </c>
    </row>
    <row r="2" ht="19.5" customHeight="1" s="138">
      <c r="A2" s="140" t="inlineStr">
        <is>
          <t>Fill blue cells as docs arrive | Pre-filled numbers = from docs we already have</t>
        </is>
      </c>
    </row>
    <row r="4" ht="15" customHeight="1" s="138">
      <c r="A4" s="141" t="inlineStr">
        <is>
          <t>Source</t>
        </is>
      </c>
      <c r="B4" s="141" t="inlineStr">
        <is>
          <t>Type</t>
        </is>
      </c>
      <c r="C4" s="141" t="inlineStr">
        <is>
          <t>Amount</t>
        </is>
      </c>
      <c r="D4" s="141" t="inlineStr">
        <is>
          <t>Status</t>
        </is>
      </c>
      <c r="E4" s="141" t="inlineStr">
        <is>
          <t>Notes</t>
        </is>
      </c>
    </row>
    <row r="5" ht="24" customHeight="1" s="138">
      <c r="A5" s="142" t="inlineStr">
        <is>
          <t>PERSONAL INCOME</t>
        </is>
      </c>
      <c r="B5" s="143" t="n"/>
      <c r="C5" s="143" t="n"/>
      <c r="D5" s="143" t="n"/>
      <c r="E5" s="144" t="n"/>
    </row>
    <row r="6" ht="24" customHeight="1" s="138">
      <c r="A6" s="146" t="inlineStr">
        <is>
          <t>Joe W-2 (ASAP S-Corp)</t>
        </is>
      </c>
      <c r="B6" s="146" t="inlineStr">
        <is>
          <t>W-2</t>
        </is>
      </c>
      <c r="C6" s="169" t="n">
        <v>93060</v>
      </c>
      <c r="D6" s="148" t="inlineStr">
        <is>
          <t>Have Doc</t>
        </is>
      </c>
      <c r="E6" s="146" t="inlineStr">
        <is>
          <t>Box 12 D: $940 (401k). W-2 = $93K not $96K</t>
        </is>
      </c>
    </row>
    <row r="7" ht="24" customHeight="1" s="138">
      <c r="A7" s="155" t="inlineStr">
        <is>
          <t>BUSINESS - ASAP CREDIT REPAIR (S-CORP)</t>
        </is>
      </c>
      <c r="B7" s="143" t="n"/>
      <c r="C7" s="143" t="n"/>
      <c r="D7" s="143" t="n"/>
      <c r="E7" s="144" t="n"/>
    </row>
    <row r="8" ht="24" customHeight="1" s="138">
      <c r="A8" s="146" t="inlineStr">
        <is>
          <t>Gross Revenue</t>
        </is>
      </c>
      <c r="B8" s="146" t="inlineStr">
        <is>
          <t>S-Corp</t>
        </is>
      </c>
      <c r="C8" s="169" t="n">
        <v>1236256.72</v>
      </c>
      <c r="D8" s="148" t="inlineStr">
        <is>
          <t>Per P&amp;L</t>
        </is>
      </c>
      <c r="E8" s="146" t="n"/>
    </row>
    <row r="9" ht="24" customHeight="1" s="138">
      <c r="A9" s="150" t="inlineStr">
        <is>
          <t>Total Expenses</t>
        </is>
      </c>
      <c r="B9" s="150" t="inlineStr">
        <is>
          <t>S-Corp</t>
        </is>
      </c>
      <c r="C9" s="170" t="n">
        <v>1307713.79</v>
      </c>
      <c r="D9" s="152" t="inlineStr">
        <is>
          <t>Per P&amp;L</t>
        </is>
      </c>
      <c r="E9" s="150" t="inlineStr">
        <is>
          <t>Amex CSV (598 txns) + Chase stmts available</t>
        </is>
      </c>
    </row>
    <row r="10" ht="24" customHeight="1" s="138">
      <c r="A10" s="146" t="inlineStr">
        <is>
          <t>Net Income (Loss)</t>
        </is>
      </c>
      <c r="B10" s="146" t="inlineStr">
        <is>
          <t>S-Corp</t>
        </is>
      </c>
      <c r="C10" s="169" t="n">
        <v>-71457.07000000001</v>
      </c>
      <c r="D10" s="148" t="inlineStr">
        <is>
          <t>Per P&amp;L</t>
        </is>
      </c>
      <c r="E10" s="146" t="inlineStr">
        <is>
          <t>Loss may offset other income</t>
        </is>
      </c>
    </row>
    <row r="11" ht="24" customHeight="1" s="138">
      <c r="A11" s="150" t="inlineStr">
        <is>
          <t>Total Payroll (all employees)</t>
        </is>
      </c>
      <c r="B11" s="150" t="inlineStr">
        <is>
          <t>Expense</t>
        </is>
      </c>
      <c r="C11" s="170" t="n">
        <v>599736.8199999999</v>
      </c>
      <c r="D11" s="152" t="inlineStr">
        <is>
          <t>Per P&amp;L</t>
        </is>
      </c>
      <c r="E11" s="150" t="inlineStr">
        <is>
          <t>Reconcile vs W-3 + 941s</t>
        </is>
      </c>
    </row>
    <row r="12" ht="24" customHeight="1" s="138">
      <c r="A12" s="146" t="inlineStr">
        <is>
          <t>Total Contractors</t>
        </is>
      </c>
      <c r="B12" s="146" t="inlineStr">
        <is>
          <t>Expense</t>
        </is>
      </c>
      <c r="C12" s="169" t="n">
        <v>191580.26</v>
      </c>
      <c r="D12" s="148" t="inlineStr">
        <is>
          <t>Per P&amp;L</t>
        </is>
      </c>
      <c r="E12" s="146" t="inlineStr">
        <is>
          <t>Reconcile vs 1099s issued</t>
        </is>
      </c>
    </row>
    <row r="13" ht="24" customHeight="1" s="138">
      <c r="A13" s="154" t="inlineStr">
        <is>
          <t>RENTAL INCOME</t>
        </is>
      </c>
      <c r="B13" s="143" t="n"/>
      <c r="C13" s="143" t="n"/>
      <c r="D13" s="143" t="n"/>
      <c r="E13" s="144" t="n"/>
    </row>
    <row r="14" ht="24" customHeight="1" s="138">
      <c r="A14" s="146" t="inlineStr">
        <is>
          <t>1099-K Total (Avail)</t>
        </is>
      </c>
      <c r="B14" s="146" t="inlineStr">
        <is>
          <t>1099-K</t>
        </is>
      </c>
      <c r="C14" s="169" t="n">
        <v>49225</v>
      </c>
      <c r="D14" s="148" t="inlineStr">
        <is>
          <t>Have Doc</t>
        </is>
      </c>
      <c r="E14" s="146" t="inlineStr">
        <is>
          <t>Combined - split by property</t>
        </is>
      </c>
    </row>
    <row r="15" ht="24" customHeight="1" s="138">
      <c r="A15" s="150" t="inlineStr">
        <is>
          <t>Cypress Home - Rent Collected</t>
        </is>
      </c>
      <c r="B15" s="150" t="n">
        <v>38400</v>
      </c>
      <c r="C15" s="171" t="n"/>
      <c r="D15" s="172" t="inlineStr">
        <is>
          <t>Have Doc</t>
        </is>
      </c>
      <c r="E15" s="150" t="inlineStr">
        <is>
          <t>$3,200/mo x 12 — from Avail CSV</t>
        </is>
      </c>
    </row>
    <row r="16" ht="24" customHeight="1" s="138">
      <c r="A16" s="146" t="inlineStr">
        <is>
          <t>Briarwest Home - Rent Collected</t>
        </is>
      </c>
      <c r="B16" s="146" t="n">
        <v>95895</v>
      </c>
      <c r="C16" s="173" t="n"/>
      <c r="D16" s="165" t="inlineStr">
        <is>
          <t>Have Doc</t>
        </is>
      </c>
      <c r="E16" s="146" t="inlineStr">
        <is>
          <t>Full year always rental — from Avail CSV</t>
        </is>
      </c>
    </row>
    <row r="17" ht="24" customHeight="1" s="138">
      <c r="A17" s="157" t="inlineStr">
        <is>
          <t>AFFILIATE 1099 INCOME</t>
        </is>
      </c>
      <c r="B17" s="143" t="n"/>
      <c r="C17" s="143" t="n"/>
      <c r="D17" s="143" t="n"/>
      <c r="E17" s="144" t="n"/>
    </row>
    <row r="18" ht="24" customHeight="1" s="138">
      <c r="A18" s="146" t="inlineStr">
        <is>
          <t>Credit Builder Card</t>
        </is>
      </c>
      <c r="B18" s="146" t="inlineStr">
        <is>
          <t>1099-NEC</t>
        </is>
      </c>
      <c r="C18" s="173" t="n"/>
      <c r="D18" s="156" t="inlineStr">
        <is>
          <t>Missing</t>
        </is>
      </c>
      <c r="E18" s="146" t="n"/>
    </row>
    <row r="19" ht="24" customHeight="1" s="138">
      <c r="A19" s="150" t="inlineStr">
        <is>
          <t>Credit Card Broker</t>
        </is>
      </c>
      <c r="B19" s="150" t="inlineStr">
        <is>
          <t>1099-NEC</t>
        </is>
      </c>
      <c r="C19" s="171" t="n"/>
      <c r="D19" s="158" t="inlineStr">
        <is>
          <t>Missing</t>
        </is>
      </c>
      <c r="E19" s="150" t="n"/>
    </row>
    <row r="20" ht="24" customHeight="1" s="138">
      <c r="A20" s="146" t="inlineStr">
        <is>
          <t>Identity IQ</t>
        </is>
      </c>
      <c r="B20" s="146" t="inlineStr">
        <is>
          <t>1099-NEC</t>
        </is>
      </c>
      <c r="C20" s="173" t="n"/>
      <c r="D20" s="156" t="inlineStr">
        <is>
          <t>Missing</t>
        </is>
      </c>
      <c r="E20" s="146" t="n"/>
    </row>
    <row r="21" ht="24" customHeight="1" s="138">
      <c r="A21" s="150" t="inlineStr">
        <is>
          <t>Rate Special</t>
        </is>
      </c>
      <c r="B21" s="150" t="inlineStr">
        <is>
          <t>1099-NEC</t>
        </is>
      </c>
      <c r="C21" s="171" t="n"/>
      <c r="D21" s="158" t="inlineStr">
        <is>
          <t>Missing</t>
        </is>
      </c>
      <c r="E21" s="150" t="n"/>
    </row>
    <row r="22" ht="24" customHeight="1" s="138">
      <c r="A22" s="146" t="inlineStr">
        <is>
          <t>Total Affiliate 1099 Income</t>
        </is>
      </c>
      <c r="B22" s="146" t="n"/>
      <c r="C22" s="173" t="n"/>
      <c r="D22" s="146" t="n"/>
      <c r="E22" s="146" t="inlineStr">
        <is>
          <t>Sum when received</t>
        </is>
      </c>
    </row>
    <row r="23" ht="24" customHeight="1" s="138">
      <c r="A23" s="155" t="inlineStr">
        <is>
          <t>VEHICLE - 2022 GMC SIERRA 2500</t>
        </is>
      </c>
      <c r="B23" s="143" t="n"/>
      <c r="C23" s="143" t="n"/>
      <c r="D23" s="143" t="n"/>
      <c r="E23" s="144" t="n"/>
    </row>
    <row r="24" ht="24" customHeight="1" s="138">
      <c r="A24" s="146" t="inlineStr">
        <is>
          <t>Purchase Price</t>
        </is>
      </c>
      <c r="B24" s="146" t="inlineStr">
        <is>
          <t>Asset</t>
        </is>
      </c>
      <c r="C24" s="169" t="n">
        <v>54990</v>
      </c>
      <c r="D24" s="148" t="inlineStr">
        <is>
          <t>Have Doc</t>
        </is>
      </c>
      <c r="E24" s="146" t="inlineStr">
        <is>
          <t>Purchased personally</t>
        </is>
      </c>
    </row>
    <row r="25" ht="24" customHeight="1" s="138">
      <c r="A25" s="150" t="inlineStr">
        <is>
          <t>Amount Financed</t>
        </is>
      </c>
      <c r="B25" s="150" t="inlineStr">
        <is>
          <t>Loan</t>
        </is>
      </c>
      <c r="C25" s="170" t="n">
        <v>38162.32</v>
      </c>
      <c r="D25" s="152" t="inlineStr">
        <is>
          <t>Have Doc</t>
        </is>
      </c>
      <c r="E25" s="150" t="inlineStr">
        <is>
          <t>6.99% APR</t>
        </is>
      </c>
    </row>
    <row r="26" ht="24" customHeight="1" s="138">
      <c r="A26" s="146" t="inlineStr">
        <is>
          <t>Estimated Business Use %</t>
        </is>
      </c>
      <c r="B26" s="146" t="n"/>
      <c r="C26" s="173" t="n"/>
      <c r="D26" s="165" t="inlineStr">
        <is>
          <t>Need Estimate</t>
        </is>
      </c>
      <c r="E26" s="146" t="inlineStr">
        <is>
          <t>Start tracking mileage</t>
        </is>
      </c>
    </row>
    <row r="27" ht="24" customHeight="1" s="138">
      <c r="A27" s="142" t="inlineStr">
        <is>
          <t>STUDENT LOANS</t>
        </is>
      </c>
      <c r="B27" s="143" t="n"/>
      <c r="C27" s="143" t="n"/>
      <c r="D27" s="143" t="n"/>
      <c r="E27" s="144" t="n"/>
    </row>
    <row r="28" ht="24" customHeight="1" s="138">
      <c r="A28" s="146" t="inlineStr">
        <is>
          <t>Aubrey - Student Loan Interest (1098-E)</t>
        </is>
      </c>
      <c r="B28" s="146" t="n">
        <v>3670.2</v>
      </c>
      <c r="C28" s="173" t="n"/>
      <c r="D28" s="165" t="inlineStr">
        <is>
          <t>Have Doc</t>
        </is>
      </c>
      <c r="E28" s="146" t="inlineStr">
        <is>
          <t>Aubrey L Fearn, Acct E645919452 — phase-out check needed</t>
        </is>
      </c>
    </row>
    <row r="30" ht="24" customHeight="1" s="138">
      <c r="A30" s="142" t="inlineStr">
        <is>
          <t>AUBREY W-2 INCOME (NEW)</t>
        </is>
      </c>
      <c r="B30" s="143" t="n"/>
      <c r="C30" s="143" t="n"/>
      <c r="D30" s="143" t="n"/>
      <c r="E30" s="144" t="n"/>
    </row>
    <row r="31" ht="24" customHeight="1" s="138">
      <c r="A31" s="146" t="inlineStr">
        <is>
          <t>Aubrey W-2 #1 (Airrosti Rehab Centers)</t>
        </is>
      </c>
      <c r="B31" s="146" t="inlineStr">
        <is>
          <t>W-2</t>
        </is>
      </c>
      <c r="C31" s="169" t="n">
        <v>11414.73</v>
      </c>
      <c r="D31" s="148" t="inlineStr">
        <is>
          <t>Have Doc</t>
        </is>
      </c>
      <c r="E31" s="146" t="n"/>
    </row>
    <row r="32" ht="24" customHeight="1" s="138">
      <c r="A32" s="150" t="inlineStr">
        <is>
          <t>Aubrey W-2 #2 (Airrosti Summit)</t>
        </is>
      </c>
      <c r="B32" s="150" t="inlineStr">
        <is>
          <t>W-2</t>
        </is>
      </c>
      <c r="C32" s="170" t="n">
        <v>55365.79</v>
      </c>
      <c r="D32" s="152" t="inlineStr">
        <is>
          <t>Have Doc</t>
        </is>
      </c>
      <c r="E32" s="150" t="inlineStr">
        <is>
          <t>CO state tax $2,078</t>
        </is>
      </c>
    </row>
    <row r="33" ht="24" customHeight="1" s="138">
      <c r="A33" s="146" t="inlineStr">
        <is>
          <t>Aubrey Total W-2 Income</t>
        </is>
      </c>
      <c r="B33" s="146" t="n"/>
      <c r="C33" s="169" t="n">
        <v>66780.52</v>
      </c>
      <c r="D33" s="148" t="inlineStr">
        <is>
          <t>Confirmed</t>
        </is>
      </c>
      <c r="E33" s="146" t="inlineStr">
        <is>
          <t>Two employers</t>
        </is>
      </c>
    </row>
    <row r="35" ht="24" customHeight="1" s="138">
      <c r="A35" s="142" t="inlineStr">
        <is>
          <t>PRIMARY HOME DETAIL (724 Apex Rise, Erie CO)</t>
        </is>
      </c>
      <c r="B35" s="143" t="n"/>
      <c r="C35" s="143" t="n"/>
      <c r="D35" s="143" t="n"/>
      <c r="E35" s="144" t="n"/>
    </row>
    <row r="36" ht="24" customHeight="1" s="138">
      <c r="A36" s="146" t="inlineStr">
        <is>
          <t>Mortgage Interest (1098 Box 1)</t>
        </is>
      </c>
      <c r="B36" s="146" t="inlineStr">
        <is>
          <t>Deduction</t>
        </is>
      </c>
      <c r="C36" s="169" t="n">
        <v>35905.92</v>
      </c>
      <c r="D36" s="148" t="inlineStr">
        <is>
          <t>Have Doc</t>
        </is>
      </c>
      <c r="E36" s="146" t="inlineStr">
        <is>
          <t>PHH Mortgage, 6.375%</t>
        </is>
      </c>
    </row>
    <row r="37" ht="24" customHeight="1" s="138">
      <c r="A37" s="150" t="inlineStr">
        <is>
          <t>Outstanding Principal (Year-End)</t>
        </is>
      </c>
      <c r="B37" s="150" t="inlineStr">
        <is>
          <t>Info</t>
        </is>
      </c>
      <c r="C37" s="170" t="n">
        <v>670445.22</v>
      </c>
      <c r="D37" s="152" t="inlineStr">
        <is>
          <t>Have Doc</t>
        </is>
      </c>
      <c r="E37" s="150" t="n"/>
    </row>
    <row r="38" ht="24" customHeight="1" s="138">
      <c r="A38" s="146" t="inlineStr">
        <is>
          <t>Property Tax (Weld County)</t>
        </is>
      </c>
      <c r="B38" s="146" t="inlineStr">
        <is>
          <t>Deduction</t>
        </is>
      </c>
      <c r="C38" s="169" t="n">
        <v>4755.07</v>
      </c>
      <c r="D38" s="148" t="inlineStr">
        <is>
          <t>Have Doc</t>
        </is>
      </c>
      <c r="E38" s="146" t="inlineStr">
        <is>
          <t>Paid from escrow</t>
        </is>
      </c>
    </row>
    <row r="39" ht="24" customHeight="1" s="138">
      <c r="A39" s="150" t="inlineStr">
        <is>
          <t>Hazard Insurance</t>
        </is>
      </c>
      <c r="B39" s="150" t="inlineStr">
        <is>
          <t>Info</t>
        </is>
      </c>
      <c r="C39" s="170" t="n">
        <v>1723</v>
      </c>
      <c r="D39" s="152" t="inlineStr">
        <is>
          <t>Have Doc</t>
        </is>
      </c>
      <c r="E39" s="150" t="inlineStr">
        <is>
          <t>Millennial Specialty</t>
        </is>
      </c>
    </row>
    <row r="40" ht="24" customHeight="1" s="138">
      <c r="A40" s="146" t="inlineStr">
        <is>
          <t>Monthly Payment</t>
        </is>
      </c>
      <c r="B40" s="146" t="inlineStr">
        <is>
          <t>Info</t>
        </is>
      </c>
      <c r="C40" s="169" t="n">
        <v>5191.44</v>
      </c>
      <c r="D40" s="148" t="inlineStr">
        <is>
          <t>Have Doc</t>
        </is>
      </c>
      <c r="E40" s="146" t="inlineStr">
        <is>
          <t>P+I+Escrow</t>
        </is>
      </c>
    </row>
    <row r="42" ht="24" customHeight="1" s="138">
      <c r="A42" s="142" t="inlineStr">
        <is>
          <t>RENTAL INCOME DETAIL (from Avail CSV)</t>
        </is>
      </c>
      <c r="B42" s="143" t="n"/>
      <c r="C42" s="143" t="n"/>
      <c r="D42" s="143" t="n"/>
      <c r="E42" s="144" t="n"/>
    </row>
    <row r="43" ht="24" customHeight="1" s="138">
      <c r="A43" s="146" t="inlineStr">
        <is>
          <t>Cypress (Oak Park Bend) — Gross Rent</t>
        </is>
      </c>
      <c r="B43" s="146" t="inlineStr">
        <is>
          <t>Rental Income</t>
        </is>
      </c>
      <c r="C43" s="169" t="n">
        <v>38400</v>
      </c>
      <c r="D43" s="148" t="inlineStr">
        <is>
          <t>Have Doc</t>
        </is>
      </c>
      <c r="E43" s="146" t="inlineStr">
        <is>
          <t>From Avail payments CSV</t>
        </is>
      </c>
    </row>
    <row r="44" ht="24" customHeight="1" s="138">
      <c r="A44" s="150" t="inlineStr">
        <is>
          <t>Briarwest (2315 Blvd) — Gross Rent</t>
        </is>
      </c>
      <c r="B44" s="150" t="inlineStr">
        <is>
          <t>Rental Income</t>
        </is>
      </c>
      <c r="C44" s="170" t="n">
        <v>95895</v>
      </c>
      <c r="D44" s="152" t="inlineStr">
        <is>
          <t>Have Doc</t>
        </is>
      </c>
      <c r="E44" s="150" t="inlineStr">
        <is>
          <t>From Avail payments CSV</t>
        </is>
      </c>
    </row>
    <row r="45" ht="24" customHeight="1" s="138">
      <c r="A45" s="146" t="inlineStr">
        <is>
          <t>TOTAL Actual Rental Income</t>
        </is>
      </c>
      <c r="B45" s="146" t="n"/>
      <c r="C45" s="169" t="n">
        <v>134295</v>
      </c>
      <c r="D45" s="148" t="inlineStr">
        <is>
          <t>Confirmed</t>
        </is>
      </c>
      <c r="E45" s="146" t="inlineStr">
        <is>
          <t>1099-K only shows $49,225</t>
        </is>
      </c>
    </row>
    <row r="46" ht="24" customHeight="1" s="138">
      <c r="A46" s="150" t="inlineStr">
        <is>
          <t>1099-K Reported Amount</t>
        </is>
      </c>
      <c r="B46" s="150" t="inlineStr">
        <is>
          <t>IRS Match</t>
        </is>
      </c>
      <c r="C46" s="170" t="n">
        <v>49225</v>
      </c>
      <c r="D46" s="152" t="inlineStr">
        <is>
          <t>Have Doc</t>
        </is>
      </c>
      <c r="E46" s="150" t="inlineStr">
        <is>
          <t>Difference = $85,070 not on 1099-K</t>
        </is>
      </c>
    </row>
    <row r="48" ht="24" customHeight="1" s="138">
      <c r="A48" s="142" t="inlineStr">
        <is>
          <t>CYPRESS RENTAL EXPENSES (Schedule E)</t>
        </is>
      </c>
      <c r="B48" s="143" t="n"/>
      <c r="C48" s="143" t="n"/>
      <c r="D48" s="143" t="n"/>
      <c r="E48" s="144" t="n"/>
    </row>
    <row r="49" ht="24" customHeight="1" s="138">
      <c r="A49" s="146" t="inlineStr">
        <is>
          <t>Cypress — Mortgage Interest</t>
        </is>
      </c>
      <c r="B49" s="146" t="inlineStr">
        <is>
          <t>1098</t>
        </is>
      </c>
      <c r="C49" s="169" t="n">
        <v>7525.96</v>
      </c>
      <c r="D49" s="148" t="inlineStr">
        <is>
          <t>Have Doc</t>
        </is>
      </c>
      <c r="E49" s="146" t="inlineStr">
        <is>
          <t>TX Dow Employees CU</t>
        </is>
      </c>
    </row>
    <row r="50" ht="24" customHeight="1" s="138">
      <c r="A50" s="150" t="inlineStr">
        <is>
          <t>Cypress — Property Tax</t>
        </is>
      </c>
      <c r="B50" s="150" t="inlineStr">
        <is>
          <t>1098 Box 10</t>
        </is>
      </c>
      <c r="C50" s="170" t="n">
        <v>4416.16</v>
      </c>
      <c r="D50" s="152" t="inlineStr">
        <is>
          <t>Have Doc</t>
        </is>
      </c>
      <c r="E50" s="150" t="inlineStr">
        <is>
          <t>Harris County</t>
        </is>
      </c>
    </row>
    <row r="51" ht="24" customHeight="1" s="138">
      <c r="A51" s="146" t="inlineStr">
        <is>
          <t>Cypress — HOA</t>
        </is>
      </c>
      <c r="B51" s="146" t="inlineStr">
        <is>
          <t>Statement</t>
        </is>
      </c>
      <c r="C51" s="169" t="n">
        <v>832.25</v>
      </c>
      <c r="D51" s="148" t="inlineStr">
        <is>
          <t>Have Doc</t>
        </is>
      </c>
      <c r="E51" s="146" t="inlineStr">
        <is>
          <t>Lone Oak Community</t>
        </is>
      </c>
    </row>
    <row r="52" ht="24" customHeight="1" s="138">
      <c r="A52" s="150" t="inlineStr">
        <is>
          <t>Cypress — Repairs</t>
        </is>
      </c>
      <c r="B52" s="150" t="inlineStr">
        <is>
          <t>Confirmed</t>
        </is>
      </c>
      <c r="C52" s="170" t="n">
        <v>0</v>
      </c>
      <c r="D52" s="152" t="inlineStr">
        <is>
          <t>Confirmed</t>
        </is>
      </c>
      <c r="E52" s="150" t="inlineStr">
        <is>
          <t>No repairs in 2025</t>
        </is>
      </c>
    </row>
    <row r="53" ht="24" customHeight="1" s="138">
      <c r="A53" s="146" t="inlineStr">
        <is>
          <t>Cypress — Insurance</t>
        </is>
      </c>
      <c r="B53" s="146" t="inlineStr">
        <is>
          <t>Needed</t>
        </is>
      </c>
      <c r="C53" s="169" t="n">
        <v>3510</v>
      </c>
      <c r="D53" s="148" t="inlineStr">
        <is>
          <t>Have Doc</t>
        </is>
      </c>
      <c r="E53" s="146" t="inlineStr">
        <is>
          <t>SageSure DP3 TXFK91378600, $500K dwelling</t>
        </is>
      </c>
    </row>
    <row r="55" ht="24" customHeight="1" s="138">
      <c r="A55" s="142" t="inlineStr">
        <is>
          <t>BRIARWEST RENTAL EXPENSES (Schedule E)</t>
        </is>
      </c>
      <c r="B55" s="143" t="n"/>
      <c r="C55" s="143" t="n"/>
      <c r="D55" s="143" t="n"/>
      <c r="E55" s="144" t="n"/>
    </row>
    <row r="56" ht="24" customHeight="1" s="138">
      <c r="A56" s="146" t="inlineStr">
        <is>
          <t>Briarwest — Mortgage Interest</t>
        </is>
      </c>
      <c r="B56" s="146" t="inlineStr">
        <is>
          <t>1098</t>
        </is>
      </c>
      <c r="C56" s="169" t="n">
        <v>3837.79</v>
      </c>
      <c r="D56" s="148" t="inlineStr">
        <is>
          <t>Have Doc</t>
        </is>
      </c>
      <c r="E56" s="146" t="inlineStr">
        <is>
          <t>New American Funding, 3.625%</t>
        </is>
      </c>
    </row>
    <row r="57" ht="24" customHeight="1" s="138">
      <c r="A57" s="150" t="inlineStr">
        <is>
          <t>Briarwest — Property Tax</t>
        </is>
      </c>
      <c r="B57" s="150" t="inlineStr">
        <is>
          <t>1098 Box 10</t>
        </is>
      </c>
      <c r="C57" s="170" t="n">
        <v>1729.86</v>
      </c>
      <c r="D57" s="152" t="inlineStr">
        <is>
          <t>Have Doc</t>
        </is>
      </c>
      <c r="E57" s="150" t="inlineStr">
        <is>
          <t>From escrow</t>
        </is>
      </c>
    </row>
    <row r="58" ht="24" customHeight="1" s="138">
      <c r="A58" s="146" t="inlineStr">
        <is>
          <t>Briarwest — Hazard Insurance</t>
        </is>
      </c>
      <c r="B58" s="146" t="inlineStr">
        <is>
          <t>1098 Escrow</t>
        </is>
      </c>
      <c r="C58" s="169" t="n">
        <v>2679</v>
      </c>
      <c r="D58" s="148" t="inlineStr">
        <is>
          <t>Have Doc</t>
        </is>
      </c>
      <c r="E58" s="146" t="inlineStr">
        <is>
          <t>SageSure DP3 TXFK91597100, $300K dwelling</t>
        </is>
      </c>
    </row>
    <row r="59" ht="24" customHeight="1" s="138">
      <c r="A59" s="150" t="inlineStr">
        <is>
          <t>Briarwest — HOA</t>
        </is>
      </c>
      <c r="B59" s="150" t="inlineStr">
        <is>
          <t>No receipt</t>
        </is>
      </c>
      <c r="C59" s="170" t="n">
        <v>4020</v>
      </c>
      <c r="D59" s="152" t="inlineStr">
        <is>
          <t>Have Doc</t>
        </is>
      </c>
      <c r="E59" s="150" t="inlineStr">
        <is>
          <t>Autumn Chase $335/mo x 12 = $4,020/yr (screenshot proof)</t>
        </is>
      </c>
    </row>
    <row r="60" ht="24" customHeight="1" s="138">
      <c r="A60" s="146" t="inlineStr">
        <is>
          <t>Briarwest — Repairs</t>
        </is>
      </c>
      <c r="B60" s="146" t="inlineStr">
        <is>
          <t>Not tracked</t>
        </is>
      </c>
      <c r="C60" s="146" t="n"/>
      <c r="D60" s="156" t="inlineStr">
        <is>
          <t>UNKNOWN</t>
        </is>
      </c>
      <c r="E60" s="146" t="inlineStr">
        <is>
          <t>Not logged in 2025</t>
        </is>
      </c>
    </row>
    <row r="62" ht="24" customHeight="1" s="138">
      <c r="A62" s="162" t="inlineStr">
        <is>
          <t>CYPRESS — COMPLETE EXPENSE PICTURE (Rental start: 03/01/2025)</t>
        </is>
      </c>
      <c r="B62" s="143" t="n"/>
      <c r="C62" s="143" t="n"/>
      <c r="D62" s="143" t="n"/>
      <c r="E62" s="144" t="n"/>
    </row>
    <row r="63" ht="24" customHeight="1" s="138">
      <c r="A63" s="174" t="inlineStr">
        <is>
          <t>Cypress — Mortgage Interest (10 months)</t>
        </is>
      </c>
      <c r="B63" s="174" t="inlineStr">
        <is>
          <t>1098</t>
        </is>
      </c>
      <c r="C63" s="175" t="n">
        <v>7525.96</v>
      </c>
      <c r="D63" s="148" t="inlineStr">
        <is>
          <t>Have Doc</t>
        </is>
      </c>
      <c r="E63" s="174" t="inlineStr">
        <is>
          <t>TDECU — only post-conversion portion deductible on Sch E</t>
        </is>
      </c>
    </row>
    <row r="64" ht="24" customHeight="1" s="138">
      <c r="A64" s="176" t="inlineStr">
        <is>
          <t>Cypress — Property Tax</t>
        </is>
      </c>
      <c r="B64" s="176" t="inlineStr">
        <is>
          <t>1098 Box 10</t>
        </is>
      </c>
      <c r="C64" s="177" t="n">
        <v>4416.16</v>
      </c>
      <c r="D64" s="152" t="inlineStr">
        <is>
          <t>Have Doc</t>
        </is>
      </c>
      <c r="E64" s="176" t="inlineStr">
        <is>
          <t>Harris County — prorate personal vs rental</t>
        </is>
      </c>
    </row>
    <row r="65" ht="24" customHeight="1" s="138">
      <c r="A65" s="174" t="inlineStr">
        <is>
          <t>Cypress — HOA (Lone Oak)</t>
        </is>
      </c>
      <c r="B65" s="174" t="inlineStr">
        <is>
          <t>Screenshot</t>
        </is>
      </c>
      <c r="C65" s="175" t="n">
        <v>832.25</v>
      </c>
      <c r="D65" s="148" t="inlineStr">
        <is>
          <t>Have Doc</t>
        </is>
      </c>
      <c r="E65" s="174" t="inlineStr">
        <is>
          <t>Annual dues</t>
        </is>
      </c>
    </row>
    <row r="66" ht="24" customHeight="1" s="138">
      <c r="A66" s="176" t="inlineStr">
        <is>
          <t>Cypress — Landlord Insurance</t>
        </is>
      </c>
      <c r="B66" s="176" t="inlineStr">
        <is>
          <t>Policy</t>
        </is>
      </c>
      <c r="C66" s="177" t="n">
        <v>3510</v>
      </c>
      <c r="D66" s="152" t="inlineStr">
        <is>
          <t>Have Doc</t>
        </is>
      </c>
      <c r="E66" s="176" t="inlineStr">
        <is>
          <t>SageSure DP3 — started June 2025</t>
        </is>
      </c>
    </row>
    <row r="67" ht="24" customHeight="1" s="138">
      <c r="A67" s="174" t="inlineStr">
        <is>
          <t>Cypress — Pool Maintenance</t>
        </is>
      </c>
      <c r="B67" s="174" t="inlineStr">
        <is>
          <t>Screenshot</t>
        </is>
      </c>
      <c r="C67" s="175" t="n">
        <v>1800</v>
      </c>
      <c r="D67" s="148" t="inlineStr">
        <is>
          <t>Have Doc</t>
        </is>
      </c>
      <c r="E67" s="174" t="inlineStr">
        <is>
          <t>$180/mo x 10 months (Mar-Dec) from joint checking</t>
        </is>
      </c>
    </row>
    <row r="68" ht="24" customHeight="1" s="138">
      <c r="A68" s="176" t="inlineStr">
        <is>
          <t>Cypress — Lawn Care (Jose, regular)</t>
        </is>
      </c>
      <c r="B68" s="176" t="inlineStr">
        <is>
          <t>Bank stmt</t>
        </is>
      </c>
      <c r="C68" s="177" t="n">
        <v>1045</v>
      </c>
      <c r="D68" s="152" t="inlineStr">
        <is>
          <t>Have Doc</t>
        </is>
      </c>
      <c r="E68" s="176" t="inlineStr">
        <is>
          <t>21 Zelle payments $35-$100 each</t>
        </is>
      </c>
    </row>
    <row r="69" ht="24" customHeight="1" s="138">
      <c r="A69" s="174" t="inlineStr">
        <is>
          <t>Cypress — Landscaping (pre-rental prep)</t>
        </is>
      </c>
      <c r="B69" s="174" t="inlineStr">
        <is>
          <t>Bank stmt</t>
        </is>
      </c>
      <c r="C69" s="175" t="n">
        <v>3600</v>
      </c>
      <c r="D69" s="148" t="inlineStr">
        <is>
          <t>Have Doc</t>
        </is>
      </c>
      <c r="E69" s="174" t="inlineStr">
        <is>
          <t>$1,700 + $1,900 Feb — prep to convert to rental</t>
        </is>
      </c>
    </row>
    <row r="70" ht="24" customHeight="1" s="138">
      <c r="A70" s="176" t="inlineStr">
        <is>
          <t>Cypress — Repairs</t>
        </is>
      </c>
      <c r="B70" s="176" t="inlineStr">
        <is>
          <t>Confirmed</t>
        </is>
      </c>
      <c r="C70" s="177" t="n">
        <v>0</v>
      </c>
      <c r="D70" s="152" t="inlineStr">
        <is>
          <t>Confirmed</t>
        </is>
      </c>
      <c r="E70" s="176" t="inlineStr">
        <is>
          <t>No repairs in 2025</t>
        </is>
      </c>
    </row>
    <row r="71" ht="24" customHeight="1" s="138">
      <c r="A71" s="174" t="inlineStr">
        <is>
          <t>Cypress — Water (City of Houston)</t>
        </is>
      </c>
      <c r="B71" s="174" t="inlineStr">
        <is>
          <t>Bank stmt</t>
        </is>
      </c>
      <c r="C71" s="174" t="n"/>
      <c r="D71" s="165" t="inlineStr">
        <is>
          <t>Partial</t>
        </is>
      </c>
      <c r="E71" s="174" t="inlineStr">
        <is>
          <t>12 monthly payments — need to extract amounts</t>
        </is>
      </c>
    </row>
    <row r="72" ht="24" customHeight="1" s="138">
      <c r="A72" s="178" t="inlineStr">
        <is>
          <t>CYPRESS TOTAL KNOWN EXPENSES</t>
        </is>
      </c>
      <c r="B72" s="176" t="n"/>
      <c r="C72" s="178" t="n"/>
      <c r="D72" s="172" t="n"/>
      <c r="E72" s="176" t="inlineStr">
        <is>
          <t>CPA to prorate mortgage int + prop tax for 10 rental months</t>
        </is>
      </c>
    </row>
    <row r="74" ht="27.75" customHeight="1" s="138">
      <c r="A74" s="155" t="inlineStr">
        <is>
          <t>ERIE HOME PURCHASE — 724 Apex Rise St (Closed 01/30/2025)</t>
        </is>
      </c>
      <c r="B74" s="143" t="n"/>
      <c r="C74" s="143" t="n"/>
      <c r="D74" s="143" t="n"/>
      <c r="E74" s="144" t="n"/>
    </row>
    <row r="75" ht="24" customHeight="1" s="138">
      <c r="A75" s="174" t="inlineStr">
        <is>
          <t>Purchase Price</t>
        </is>
      </c>
      <c r="B75" s="174" t="inlineStr">
        <is>
          <t>Closing Disclosure</t>
        </is>
      </c>
      <c r="C75" s="175" t="n">
        <v>849950</v>
      </c>
      <c r="D75" s="148" t="inlineStr">
        <is>
          <t>Have Doc</t>
        </is>
      </c>
      <c r="E75" s="174" t="inlineStr">
        <is>
          <t>Seller: Richmond American Homes</t>
        </is>
      </c>
    </row>
    <row r="76" ht="24" customHeight="1" s="138">
      <c r="A76" s="176" t="inlineStr">
        <is>
          <t>Loan Amount</t>
        </is>
      </c>
      <c r="B76" s="176" t="inlineStr">
        <is>
          <t>HomeAmerican Mortgage</t>
        </is>
      </c>
      <c r="C76" s="177" t="n">
        <v>679960</v>
      </c>
      <c r="D76" s="152" t="inlineStr">
        <is>
          <t>Have Doc</t>
        </is>
      </c>
      <c r="E76" s="176" t="inlineStr">
        <is>
          <t>Conventional, 30yr fixed, 6.375%</t>
        </is>
      </c>
    </row>
    <row r="77" ht="24" customHeight="1" s="138">
      <c r="A77" s="174" t="inlineStr">
        <is>
          <t>Down Payment</t>
        </is>
      </c>
      <c r="B77" s="174" t="inlineStr">
        <is>
          <t>Closing Disclosure</t>
        </is>
      </c>
      <c r="C77" s="175" t="n">
        <v>169990</v>
      </c>
      <c r="D77" s="148" t="inlineStr">
        <is>
          <t>Have Doc</t>
        </is>
      </c>
      <c r="E77" s="174" t="inlineStr">
        <is>
          <t>20% down</t>
        </is>
      </c>
    </row>
    <row r="78" ht="24" customHeight="1" s="138">
      <c r="A78" s="158" t="inlineStr">
        <is>
          <t>POINTS PAID (2.492%)</t>
        </is>
      </c>
      <c r="B78" s="176" t="inlineStr">
        <is>
          <t>Closing Disclosure</t>
        </is>
      </c>
      <c r="C78" s="177" t="n">
        <v>16944.6</v>
      </c>
      <c r="D78" s="158" t="inlineStr">
        <is>
          <t>DEDUCTIBLE</t>
        </is>
      </c>
      <c r="E78" s="176" t="inlineStr">
        <is>
          <t>Loan discount fee — potentially deductible in 2025!</t>
        </is>
      </c>
    </row>
    <row r="79" ht="24" customHeight="1" s="138">
      <c r="A79" s="174" t="inlineStr">
        <is>
          <t>Prepaid Interest (1/30-2/1)</t>
        </is>
      </c>
      <c r="B79" s="174" t="inlineStr">
        <is>
          <t>Closing Disclosure</t>
        </is>
      </c>
      <c r="C79" s="175" t="n">
        <v>237.52</v>
      </c>
      <c r="D79" s="148" t="inlineStr">
        <is>
          <t>Have Doc</t>
        </is>
      </c>
      <c r="E79" s="174" t="inlineStr">
        <is>
          <t>2 days prepaid at $118.76/day</t>
        </is>
      </c>
    </row>
    <row r="80" ht="24" customHeight="1" s="138">
      <c r="A80" s="176" t="inlineStr">
        <is>
          <t>Closing Costs (Buyer-Paid)</t>
        </is>
      </c>
      <c r="B80" s="176" t="inlineStr">
        <is>
          <t>Closing Disclosure</t>
        </is>
      </c>
      <c r="C80" s="177" t="n">
        <v>2301.6</v>
      </c>
      <c r="D80" s="152" t="inlineStr">
        <is>
          <t>Have Doc</t>
        </is>
      </c>
      <c r="E80" s="176" t="inlineStr">
        <is>
          <t>Title, recording, settlement fees</t>
        </is>
      </c>
    </row>
    <row r="81" ht="24" customHeight="1" s="138">
      <c r="A81" s="174" t="inlineStr">
        <is>
          <t>Seller Credits</t>
        </is>
      </c>
      <c r="B81" s="174" t="inlineStr">
        <is>
          <t>Closing Disclosure</t>
        </is>
      </c>
      <c r="C81" s="175" t="n">
        <v>24659</v>
      </c>
      <c r="D81" s="148" t="inlineStr">
        <is>
          <t>Have Doc</t>
        </is>
      </c>
      <c r="E81" s="174" t="inlineStr">
        <is>
          <t>Applied to closing costs</t>
        </is>
      </c>
    </row>
    <row r="82" ht="24" customHeight="1" s="138">
      <c r="A82" s="176" t="inlineStr">
        <is>
          <t>Cash to Close</t>
        </is>
      </c>
      <c r="B82" s="176" t="inlineStr">
        <is>
          <t>Closing Disclosure</t>
        </is>
      </c>
      <c r="C82" s="177" t="n">
        <v>155160.97</v>
      </c>
      <c r="D82" s="152" t="inlineStr">
        <is>
          <t>Have Doc</t>
        </is>
      </c>
      <c r="E82" s="176" t="inlineStr">
        <is>
          <t>Total out of pocket</t>
        </is>
      </c>
    </row>
    <row r="83" ht="24" customHeight="1" s="138">
      <c r="A83" s="174" t="inlineStr">
        <is>
          <t>Homeowner's Insurance</t>
        </is>
      </c>
      <c r="B83" s="174" t="inlineStr">
        <is>
          <t>Praetorian/Millennial</t>
        </is>
      </c>
      <c r="C83" s="175" t="n">
        <v>1533</v>
      </c>
      <c r="D83" s="148" t="inlineStr">
        <is>
          <t>Have Doc</t>
        </is>
      </c>
      <c r="E83" s="174" t="inlineStr">
        <is>
          <t>Prepaid 12 months at closing</t>
        </is>
      </c>
    </row>
    <row r="84" ht="24" customHeight="1" s="138">
      <c r="A84" s="176" t="inlineStr">
        <is>
          <t>Property Tax (Weld County)</t>
        </is>
      </c>
      <c r="B84" s="176" t="inlineStr">
        <is>
          <t>Closing Disclosure</t>
        </is>
      </c>
      <c r="C84" s="177" t="n">
        <v>4128.26</v>
      </c>
      <c r="D84" s="152" t="inlineStr">
        <is>
          <t>Have Doc</t>
        </is>
      </c>
      <c r="E84" s="176" t="inlineStr">
        <is>
          <t>$1,643.24 + $2,485.02 escrow reserves</t>
        </is>
      </c>
    </row>
    <row r="85" ht="24" customHeight="1" s="138">
      <c r="A85" s="174" t="inlineStr">
        <is>
          <t>Monthly Payment (Total)</t>
        </is>
      </c>
      <c r="B85" s="174" t="inlineStr">
        <is>
          <t>HomeAmerican</t>
        </is>
      </c>
      <c r="C85" s="175" t="n">
        <v>5191.44</v>
      </c>
      <c r="D85" s="148" t="inlineStr">
        <is>
          <t>Have Doc</t>
        </is>
      </c>
      <c r="E85" s="174" t="inlineStr">
        <is>
          <t>P&amp;I $4,242 + Escrow $949</t>
        </is>
      </c>
    </row>
    <row r="86" ht="24" customHeight="1" s="138">
      <c r="A86" s="176" t="inlineStr">
        <is>
          <t>HOA (Colliers Hill)</t>
        </is>
      </c>
      <c r="B86" s="176" t="inlineStr">
        <is>
          <t>Closing Disclosure</t>
        </is>
      </c>
      <c r="C86" s="177" t="n">
        <v>1056</v>
      </c>
      <c r="D86" s="152" t="inlineStr">
        <is>
          <t>Have Doc</t>
        </is>
      </c>
      <c r="E86" s="176" t="inlineStr">
        <is>
          <t>$96/mo (not escrowed, paid separately)</t>
        </is>
      </c>
    </row>
    <row r="87" ht="24" customHeight="1" s="138">
      <c r="A87" s="174" t="inlineStr">
        <is>
          <t>Co-Borrower</t>
        </is>
      </c>
      <c r="B87" s="174" t="n"/>
      <c r="C87" s="174" t="n"/>
      <c r="D87" s="174" t="inlineStr">
        <is>
          <t>Note</t>
        </is>
      </c>
      <c r="E87" s="174" t="inlineStr">
        <is>
          <t>Eileen McGrath Mahlow is also on the mortgage</t>
        </is>
      </c>
    </row>
    <row r="89" ht="24" customHeight="1" s="138">
      <c r="A89" s="142" t="inlineStr">
        <is>
          <t>ASAP CREDIT REPAIR — BALANCE SHEET (as of 03/03/2026)</t>
        </is>
      </c>
      <c r="B89" s="143" t="n"/>
      <c r="C89" s="143" t="n"/>
      <c r="D89" s="143" t="n"/>
      <c r="E89" s="144" t="n"/>
    </row>
    <row r="90" ht="24" customHeight="1" s="138">
      <c r="A90" s="174" t="inlineStr">
        <is>
          <t>Wells Fargo Business Checking</t>
        </is>
      </c>
      <c r="B90" s="174" t="inlineStr">
        <is>
          <t>Assets</t>
        </is>
      </c>
      <c r="C90" s="175" t="n">
        <v>111132.41</v>
      </c>
      <c r="D90" s="174" t="inlineStr">
        <is>
          <t>Have Doc</t>
        </is>
      </c>
      <c r="E90" s="174" t="inlineStr">
        <is>
          <t>Account ...1116</t>
        </is>
      </c>
    </row>
    <row r="91" ht="24" customHeight="1" s="138">
      <c r="A91" s="176" t="inlineStr">
        <is>
          <t>Accounts Receivable</t>
        </is>
      </c>
      <c r="B91" s="176" t="inlineStr">
        <is>
          <t>Assets</t>
        </is>
      </c>
      <c r="C91" s="177" t="n">
        <v>640000</v>
      </c>
      <c r="D91" s="176" t="inlineStr">
        <is>
          <t>Have Doc</t>
        </is>
      </c>
      <c r="E91" s="176" t="inlineStr">
        <is>
          <t>Outstanding invoices</t>
        </is>
      </c>
    </row>
    <row r="92" ht="24" customHeight="1" s="138">
      <c r="A92" s="174" t="inlineStr">
        <is>
          <t>Equipment &amp; Other Assets</t>
        </is>
      </c>
      <c r="B92" s="174" t="inlineStr">
        <is>
          <t>Assets</t>
        </is>
      </c>
      <c r="C92" s="175" t="n">
        <v>20000</v>
      </c>
      <c r="D92" s="174" t="inlineStr">
        <is>
          <t>Have Doc</t>
        </is>
      </c>
      <c r="E92" s="174" t="inlineStr">
        <is>
          <t>Office equipment, computers</t>
        </is>
      </c>
    </row>
    <row r="93" ht="24" customHeight="1" s="138">
      <c r="A93" s="178" t="inlineStr">
        <is>
          <t>TOTAL ASSETS</t>
        </is>
      </c>
      <c r="B93" s="176" t="n"/>
      <c r="C93" s="179" t="n">
        <v>771132.41</v>
      </c>
      <c r="D93" s="176" t="n"/>
      <c r="E93" s="176" t="n"/>
    </row>
    <row r="94" ht="24" customHeight="1" s="138">
      <c r="A94" s="174" t="inlineStr">
        <is>
          <t>Amex Business Platinum</t>
        </is>
      </c>
      <c r="B94" s="174" t="inlineStr">
        <is>
          <t>Liabilities</t>
        </is>
      </c>
      <c r="C94" s="175" t="n">
        <v>20000</v>
      </c>
      <c r="D94" s="174" t="inlineStr">
        <is>
          <t>Have Doc</t>
        </is>
      </c>
      <c r="E94" s="174" t="inlineStr">
        <is>
          <t>Credit card balance</t>
        </is>
      </c>
    </row>
    <row r="95" ht="24" customHeight="1" s="138">
      <c r="A95" s="176" t="inlineStr">
        <is>
          <t>Chase Credit Card</t>
        </is>
      </c>
      <c r="B95" s="176" t="inlineStr">
        <is>
          <t>Liabilities</t>
        </is>
      </c>
      <c r="C95" s="177" t="n">
        <v>6000</v>
      </c>
      <c r="D95" s="176" t="inlineStr">
        <is>
          <t>Have Doc</t>
        </is>
      </c>
      <c r="E95" s="176" t="inlineStr">
        <is>
          <t>Credit card balance</t>
        </is>
      </c>
    </row>
    <row r="96" ht="24" customHeight="1" s="138">
      <c r="A96" s="180" t="inlineStr">
        <is>
          <t>TOTAL LIABILITIES</t>
        </is>
      </c>
      <c r="B96" s="174" t="n"/>
      <c r="C96" s="181" t="n">
        <v>26000</v>
      </c>
      <c r="D96" s="174" t="n"/>
      <c r="E96" s="174" t="n"/>
    </row>
    <row r="97" ht="24" customHeight="1" s="138">
      <c r="A97" s="178" t="inlineStr">
        <is>
          <t>OWNER'S EQUITY</t>
        </is>
      </c>
      <c r="B97" s="176" t="n"/>
      <c r="C97" s="179" t="n">
        <v>745132.41</v>
      </c>
      <c r="D97" s="176" t="n"/>
      <c r="E97" s="176" t="inlineStr">
        <is>
          <t>Assets - Liabilities</t>
        </is>
      </c>
    </row>
    <row r="99" ht="24" customHeight="1" s="138">
      <c r="A99" s="162" t="inlineStr">
        <is>
          <t>CYPRESS DEPRECIATION SETUP</t>
        </is>
      </c>
      <c r="B99" s="143" t="n"/>
      <c r="C99" s="143" t="n"/>
      <c r="D99" s="143" t="n"/>
      <c r="E99" s="144" t="n"/>
    </row>
    <row r="100" ht="24" customHeight="1" s="138">
      <c r="A100" s="174" t="inlineStr">
        <is>
          <t>Original Purchase Price</t>
        </is>
      </c>
      <c r="B100" s="174" t="inlineStr">
        <is>
          <t>Joe stated</t>
        </is>
      </c>
      <c r="C100" s="182" t="n">
        <v>247500</v>
      </c>
      <c r="D100" s="174" t="inlineStr">
        <is>
          <t>Verbal</t>
        </is>
      </c>
      <c r="E100" s="183" t="inlineStr">
        <is>
          <t>CONFIRMED — Closing Statement 08/06/2019 (was estimated at $240K)</t>
        </is>
      </c>
    </row>
    <row r="101" ht="24" customHeight="1" s="138">
      <c r="A101" s="176" t="inlineStr">
        <is>
          <t>Conversion Date</t>
        </is>
      </c>
      <c r="B101" s="176" t="n"/>
      <c r="C101" s="176" t="n"/>
      <c r="D101" s="176" t="inlineStr">
        <is>
          <t>03/01/2025</t>
        </is>
      </c>
      <c r="E101" s="176" t="inlineStr">
        <is>
          <t>Primary → Rental</t>
        </is>
      </c>
    </row>
    <row r="102" ht="24" customHeight="1" s="138">
      <c r="A102" s="174" t="inlineStr">
        <is>
          <t>Monthly Rent</t>
        </is>
      </c>
      <c r="B102" s="174" t="inlineStr">
        <is>
          <t>Avail</t>
        </is>
      </c>
      <c r="C102" s="175" t="n">
        <v>3200</v>
      </c>
      <c r="D102" s="174" t="inlineStr">
        <is>
          <t>Have Doc</t>
        </is>
      </c>
      <c r="E102" s="174" t="inlineStr">
        <is>
          <t>Per Avail CSV data</t>
        </is>
      </c>
    </row>
    <row r="103" ht="24" customHeight="1" s="138">
      <c r="A103" s="176" t="inlineStr">
        <is>
          <t>Estimated Annual Depreciation</t>
        </is>
      </c>
      <c r="B103" s="176" t="inlineStr">
        <is>
          <t>CPA to calculate</t>
        </is>
      </c>
      <c r="C103" s="183" t="n">
        <v>8000</v>
      </c>
      <c r="D103" s="176" t="inlineStr">
        <is>
          <t>Pending</t>
        </is>
      </c>
      <c r="E103" s="176" t="inlineStr">
        <is>
          <t>Est: ($247,500 - 20% land = $198,000) / 27.5 = ~$7,200/yr. CPA confirms land value.</t>
        </is>
      </c>
    </row>
    <row r="104" ht="24" customHeight="1" s="138">
      <c r="A104" s="174" t="inlineStr">
        <is>
          <t>2025 Depreciation (10 months)</t>
        </is>
      </c>
      <c r="B104" s="174" t="inlineStr">
        <is>
          <t>CPA to calculate</t>
        </is>
      </c>
      <c r="C104" s="183" t="n">
        <v>6000</v>
      </c>
      <c r="D104" s="174" t="inlineStr">
        <is>
          <t>Pending</t>
        </is>
      </c>
      <c r="E104" s="174" t="inlineStr">
        <is>
          <t>Est ~$6,000 (10/12 of $7,200). CPA calculates using actual land exclusion + FMV test.</t>
        </is>
      </c>
    </row>
    <row r="106" ht="27.75" customHeight="1" s="138">
      <c r="A106" s="157" t="inlineStr">
        <is>
          <t>AFFILIATE INCOME — RECONSTRUCTED FROM BANK STATEMENTS</t>
        </is>
      </c>
      <c r="B106" s="143" t="n"/>
      <c r="C106" s="143" t="n"/>
      <c r="D106" s="143" t="n"/>
      <c r="E106" s="144" t="n"/>
    </row>
    <row r="107" ht="24" customHeight="1" s="138">
      <c r="A107" s="174" t="inlineStr">
        <is>
          <t>CB Card LLC (= Credit Card Broker)</t>
        </is>
      </c>
      <c r="B107" s="174" t="inlineStr">
        <is>
          <t>Personal bank</t>
        </is>
      </c>
      <c r="C107" s="175" t="n">
        <v>885</v>
      </c>
      <c r="D107" s="184" t="inlineStr">
        <is>
          <t>Bank Stmt</t>
        </is>
      </c>
      <c r="E107" s="174" t="inlineStr">
        <is>
          <t>5 payments Jul-Nov via Bill.com. CB Card LLC IS the Credit Card Broker affiliate.</t>
        </is>
      </c>
    </row>
    <row r="108" ht="24" customHeight="1" s="138">
      <c r="A108" s="176" t="inlineStr">
        <is>
          <t>RateSpecial Interactive LLC</t>
        </is>
      </c>
      <c r="B108" s="176" t="inlineStr">
        <is>
          <t>Personal bank</t>
        </is>
      </c>
      <c r="C108" s="177" t="n">
        <v>4808</v>
      </c>
      <c r="D108" s="185" t="inlineStr">
        <is>
          <t>Bank Stmt</t>
        </is>
      </c>
      <c r="E108" s="176" t="inlineStr">
        <is>
          <t>5 payments Jul-Dec</t>
        </is>
      </c>
    </row>
    <row r="109" ht="24" customHeight="1" s="138">
      <c r="A109" s="174" t="inlineStr">
        <is>
          <t>Awin Inc (to Identity Command)</t>
        </is>
      </c>
      <c r="B109" s="174" t="inlineStr">
        <is>
          <t>Personal bank</t>
        </is>
      </c>
      <c r="C109" s="175" t="n">
        <v>43.09</v>
      </c>
      <c r="D109" s="184" t="inlineStr">
        <is>
          <t>Bank Stmt</t>
        </is>
      </c>
      <c r="E109" s="174" t="inlineStr">
        <is>
          <t>1 payment Sep</t>
        </is>
      </c>
    </row>
    <row r="110" ht="24" customHeight="1" s="138">
      <c r="A110" s="176" t="inlineStr">
        <is>
          <t>Identity Command LLC → Joe (Zelle)</t>
        </is>
      </c>
      <c r="B110" s="176" t="inlineStr">
        <is>
          <t>Personal bank</t>
        </is>
      </c>
      <c r="C110" s="177" t="n">
        <v>7800</v>
      </c>
      <c r="D110" s="185" t="inlineStr">
        <is>
          <t>Bank Stmt</t>
        </is>
      </c>
      <c r="E110" s="176" t="inlineStr">
        <is>
          <t>2 payments Jan ($7,200 + $600)</t>
        </is>
      </c>
    </row>
    <row r="111" ht="24" customHeight="1" s="138">
      <c r="A111" s="174" t="inlineStr">
        <is>
          <t>Proxi Independent Group → Identity Command</t>
        </is>
      </c>
      <c r="B111" s="174" t="inlineStr">
        <is>
          <t>1099-NEC</t>
        </is>
      </c>
      <c r="C111" s="175" t="n">
        <v>6311</v>
      </c>
      <c r="D111" s="148" t="inlineStr">
        <is>
          <t>Have 1099</t>
        </is>
      </c>
      <c r="E111" s="174" t="inlineStr">
        <is>
          <t>$6,311 — 1099-NEC issued</t>
        </is>
      </c>
    </row>
    <row r="112" ht="24" customHeight="1" s="138">
      <c r="A112" s="178" t="inlineStr">
        <is>
          <t>SUBTOTAL — Personal Bank / Identity Command</t>
        </is>
      </c>
      <c r="B112" s="176" t="n"/>
      <c r="C112" s="179" t="n">
        <v>19847.09</v>
      </c>
      <c r="D112" s="176" t="n"/>
      <c r="E112" s="176" t="n"/>
    </row>
    <row r="113" ht="24" customHeight="1" s="138">
      <c r="A113" s="174" t="n"/>
      <c r="B113" s="174" t="n"/>
      <c r="C113" s="174" t="n"/>
      <c r="D113" s="174" t="n"/>
      <c r="E113" s="174" t="n"/>
    </row>
    <row r="114" ht="24" customHeight="1" s="138">
      <c r="A114" s="176" t="inlineStr">
        <is>
          <t>IDIQ Commissions (via ASAP business → Joe)</t>
        </is>
      </c>
      <c r="B114" s="176" t="inlineStr">
        <is>
          <t>Personal bank</t>
        </is>
      </c>
      <c r="C114" s="177" t="n">
        <v>18000</v>
      </c>
      <c r="D114" s="185" t="inlineStr">
        <is>
          <t>Bank Stmt</t>
        </is>
      </c>
      <c r="E114" s="176" t="inlineStr">
        <is>
          <t>3 owner draws labeled IDIQ: $10K + $4.5K + $3.5K</t>
        </is>
      </c>
    </row>
    <row r="115" ht="24" customHeight="1" s="138">
      <c r="A115" s="180" t="inlineStr">
        <is>
          <t>SUBTOTAL — Via Business Account</t>
        </is>
      </c>
      <c r="B115" s="174" t="n"/>
      <c r="C115" s="181" t="n">
        <v>18000</v>
      </c>
      <c r="D115" s="174" t="n"/>
      <c r="E115" s="174" t="inlineStr">
        <is>
          <t>S-Corp revenue, not personal income</t>
        </is>
      </c>
    </row>
    <row r="116" ht="24" customHeight="1" s="138">
      <c r="A116" s="176" t="n"/>
      <c r="B116" s="176" t="n"/>
      <c r="C116" s="176" t="n"/>
      <c r="D116" s="176" t="n"/>
      <c r="E116" s="176" t="n"/>
    </row>
    <row r="117" ht="24" customHeight="1" s="138">
      <c r="A117" s="174" t="inlineStr">
        <is>
          <t>Elevated Chiropractic → Aubrey</t>
        </is>
      </c>
      <c r="B117" s="174" t="inlineStr">
        <is>
          <t>1099-NEC</t>
        </is>
      </c>
      <c r="C117" s="175" t="n">
        <v>1500</v>
      </c>
      <c r="D117" s="148" t="inlineStr">
        <is>
          <t>Have 1099</t>
        </is>
      </c>
      <c r="E117" s="174" t="inlineStr">
        <is>
          <t>Aubrey's side income, CO state</t>
        </is>
      </c>
    </row>
    <row r="118" ht="24" customHeight="1" s="138">
      <c r="A118" s="176" t="n"/>
      <c r="B118" s="176" t="n"/>
      <c r="C118" s="176" t="n"/>
      <c r="D118" s="176" t="n"/>
      <c r="E118" s="176" t="n"/>
    </row>
    <row r="119" ht="24" customHeight="1" s="138">
      <c r="A119" s="174" t="inlineStr">
        <is>
          <t>Credit Card Broker</t>
        </is>
      </c>
      <c r="B119" s="174" t="inlineStr">
        <is>
          <t>NOT FOUND</t>
        </is>
      </c>
      <c r="C119" s="174" t="n">
        <v>0</v>
      </c>
      <c r="D119" s="165" t="inlineStr">
        <is>
          <t>Not in bank</t>
        </is>
      </c>
      <c r="E119" s="174" t="inlineStr">
        <is>
          <t>No payments found in personal bank statements</t>
        </is>
      </c>
    </row>
    <row r="120" ht="24" customHeight="1" s="138">
      <c r="A120" s="176" t="inlineStr">
        <is>
          <t>Identity IQ (direct to personal)</t>
        </is>
      </c>
      <c r="B120" s="176" t="inlineStr">
        <is>
          <t>NOT FOUND</t>
        </is>
      </c>
      <c r="C120" s="176" t="n">
        <v>0</v>
      </c>
      <c r="D120" s="172" t="inlineStr">
        <is>
          <t>Not in bank</t>
        </is>
      </c>
      <c r="E120" s="176" t="inlineStr">
        <is>
          <t>IDIQ commissions went through business acct</t>
        </is>
      </c>
    </row>
    <row r="122" ht="24" customHeight="1" s="138">
      <c r="A122" s="142" t="inlineStr">
        <is>
          <t>ADDITIONAL DOCUMENTS RECEIVED THIS BATCH</t>
        </is>
      </c>
      <c r="B122" s="143" t="n"/>
      <c r="C122" s="143" t="n"/>
      <c r="D122" s="143" t="n"/>
      <c r="E122" s="144" t="n"/>
    </row>
    <row r="123" ht="24" customHeight="1" s="138">
      <c r="A123" s="174" t="inlineStr">
        <is>
          <t>Aubrey 1098-E (Student Loan)</t>
        </is>
      </c>
      <c r="B123" s="174" t="inlineStr">
        <is>
          <t>U.S. Dept of Education</t>
        </is>
      </c>
      <c r="C123" s="175" t="n">
        <v>3670.2</v>
      </c>
      <c r="D123" s="148" t="inlineStr">
        <is>
          <t>Have Doc</t>
        </is>
      </c>
      <c r="E123" s="174" t="inlineStr">
        <is>
          <t>Borrower: Aubrey L Fearn, Account E645919452</t>
        </is>
      </c>
    </row>
    <row r="124" ht="24" customHeight="1" s="138">
      <c r="A124" s="176" t="inlineStr">
        <is>
          <t>Erie Home 1098</t>
        </is>
      </c>
      <c r="B124" s="176" t="inlineStr">
        <is>
          <t>HomeAmerican Mortgage</t>
        </is>
      </c>
      <c r="C124" s="177" t="n">
        <v>0</v>
      </c>
      <c r="D124" s="152" t="inlineStr">
        <is>
          <t>Have Doc</t>
        </is>
      </c>
      <c r="E124" s="176" t="inlineStr">
        <is>
          <t>$0 interest (loan transferred to PHH), Points $16,944.60 CONFIRMED</t>
        </is>
      </c>
    </row>
    <row r="125" ht="24" customHeight="1" s="138">
      <c r="A125" s="174" t="inlineStr">
        <is>
          <t>Aubrey 1099-NEC</t>
        </is>
      </c>
      <c r="B125" s="174" t="inlineStr">
        <is>
          <t>Elevated Chiropractic LLC</t>
        </is>
      </c>
      <c r="C125" s="175" t="n">
        <v>1500</v>
      </c>
      <c r="D125" s="148" t="inlineStr">
        <is>
          <t>Have Doc</t>
        </is>
      </c>
      <c r="E125" s="174" t="inlineStr">
        <is>
          <t>Broomfield CO, $1,500 nonemployee comp, CO state income</t>
        </is>
      </c>
    </row>
    <row r="126" ht="24" customHeight="1" s="138">
      <c r="A126" s="176" t="inlineStr">
        <is>
          <t>Briarwest 1098 (full annual)</t>
        </is>
      </c>
      <c r="B126" s="176" t="inlineStr">
        <is>
          <t>New American Funding</t>
        </is>
      </c>
      <c r="C126" s="177" t="n">
        <v>3837.79</v>
      </c>
      <c r="D126" s="152" t="inlineStr">
        <is>
          <t>Have Doc</t>
        </is>
      </c>
      <c r="E126" s="176" t="inlineStr">
        <is>
          <t>Principal $107,019, tax $1,729.86, escrow: $5,384 ins + $2,800 refund</t>
        </is>
      </c>
    </row>
    <row r="127" ht="24" customHeight="1" s="138">
      <c r="A127" s="174" t="inlineStr">
        <is>
          <t>Proxi 1099-NEC</t>
        </is>
      </c>
      <c r="B127" s="174" t="inlineStr">
        <is>
          <t>Proxi Independent Group</t>
        </is>
      </c>
      <c r="C127" s="175" t="n">
        <v>6311</v>
      </c>
      <c r="D127" s="148" t="inlineStr">
        <is>
          <t>Have Doc</t>
        </is>
      </c>
      <c r="E127" s="174" t="inlineStr">
        <is>
          <t>To: Joe Mahlow Identity Command</t>
        </is>
      </c>
    </row>
  </sheetData>
  <mergeCells count="19">
    <mergeCell ref="A30:E30"/>
    <mergeCell ref="A48:E48"/>
    <mergeCell ref="A1:E1"/>
    <mergeCell ref="A7:E7"/>
    <mergeCell ref="A99:E99"/>
    <mergeCell ref="A89:E89"/>
    <mergeCell ref="A74:E74"/>
    <mergeCell ref="A27:E27"/>
    <mergeCell ref="A55:E55"/>
    <mergeCell ref="A2:E2"/>
    <mergeCell ref="A42:E42"/>
    <mergeCell ref="A5:E5"/>
    <mergeCell ref="A23:E23"/>
    <mergeCell ref="A17:E17"/>
    <mergeCell ref="A106:E106"/>
    <mergeCell ref="A122:E122"/>
    <mergeCell ref="A35:E35"/>
    <mergeCell ref="A62:E62"/>
    <mergeCell ref="A13:E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2E5090"/>
    <outlinePr summaryBelow="1" summaryRight="1"/>
    <pageSetUpPr fitToPage="0"/>
  </sheetPr>
  <dimension ref="A1:D3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8" customWidth="1" style="137" min="1" max="1"/>
    <col width="22" customWidth="1" style="137" min="2" max="3"/>
    <col width="34" customWidth="1" style="137" min="4" max="4"/>
  </cols>
  <sheetData>
    <row r="1" ht="31.5" customHeight="1" s="138">
      <c r="A1" s="139" t="inlineStr">
        <is>
          <t>ASAP Credit Repair - S-Corp Tax Reconciliation</t>
        </is>
      </c>
    </row>
    <row r="2" ht="19.5" customHeight="1" s="138">
      <c r="A2" s="140" t="inlineStr">
        <is>
          <t>Compare P&amp;L vs tax filings to prevent IRS mismatch letters | Blue = enter from tax forms | Pre-filled = from P&amp;L</t>
        </is>
      </c>
    </row>
    <row r="4" ht="15" customHeight="1" s="138">
      <c r="A4" s="141" t="inlineStr">
        <is>
          <t>Line Item</t>
        </is>
      </c>
      <c r="B4" s="141" t="inlineStr">
        <is>
          <t>Per P&amp;L / Records</t>
        </is>
      </c>
      <c r="C4" s="141" t="inlineStr">
        <is>
          <t>Per Tax Filing</t>
        </is>
      </c>
      <c r="D4" s="141" t="inlineStr">
        <is>
          <t>Variance / Notes</t>
        </is>
      </c>
    </row>
    <row r="5" ht="24" customHeight="1" s="138">
      <c r="A5" s="155" t="inlineStr">
        <is>
          <t>REVENUE</t>
        </is>
      </c>
      <c r="B5" s="143" t="n"/>
      <c r="C5" s="143" t="n"/>
      <c r="D5" s="144" t="n"/>
    </row>
    <row r="6" ht="24" customHeight="1" s="138">
      <c r="A6" s="146" t="inlineStr">
        <is>
          <t>Gross Revenue (per P&amp;L)</t>
        </is>
      </c>
      <c r="B6" s="169" t="n">
        <v>1236256.72</v>
      </c>
      <c r="C6" s="186" t="n"/>
      <c r="D6" s="146" t="n"/>
    </row>
    <row r="7" ht="24" customHeight="1" s="138">
      <c r="A7" s="150" t="inlineStr">
        <is>
          <t>Total Bank Deposits</t>
        </is>
      </c>
      <c r="B7" s="187" t="n"/>
      <c r="C7" s="187" t="n"/>
      <c r="D7" s="150" t="inlineStr">
        <is>
          <t>Should be close to revenue</t>
        </is>
      </c>
    </row>
    <row r="8" ht="24" customHeight="1" s="138">
      <c r="A8" s="146" t="inlineStr">
        <is>
          <t>Revenue Variance</t>
        </is>
      </c>
      <c r="B8" s="186" t="n"/>
      <c r="C8" s="186" t="n"/>
      <c r="D8" s="146" t="inlineStr">
        <is>
          <t>Flag if &gt; 5% difference</t>
        </is>
      </c>
    </row>
    <row r="9" ht="24" customHeight="1" s="138">
      <c r="A9" s="155" t="inlineStr">
        <is>
          <t>PAYROLL - WAGES</t>
        </is>
      </c>
      <c r="B9" s="143" t="n"/>
      <c r="C9" s="143" t="n"/>
      <c r="D9" s="144" t="n"/>
    </row>
    <row r="10" ht="24" customHeight="1" s="138">
      <c r="A10" s="146" t="inlineStr">
        <is>
          <t>Total Wages (per P&amp;L)</t>
        </is>
      </c>
      <c r="B10" s="169" t="n">
        <v>599736.8199999999</v>
      </c>
      <c r="C10" s="186" t="n"/>
      <c r="D10" s="146" t="n"/>
    </row>
    <row r="11" ht="24" customHeight="1" s="138">
      <c r="A11" s="150" t="inlineStr">
        <is>
          <t>Total Wages (per W-3)</t>
        </is>
      </c>
      <c r="B11" s="187" t="n"/>
      <c r="C11" s="187" t="n"/>
      <c r="D11" s="150" t="inlineStr">
        <is>
          <t>Enter from W-3</t>
        </is>
      </c>
    </row>
    <row r="12" ht="24" customHeight="1" s="138">
      <c r="A12" s="146" t="inlineStr">
        <is>
          <t>Payroll Variance</t>
        </is>
      </c>
      <c r="B12" s="186" t="n"/>
      <c r="C12" s="186" t="n"/>
      <c r="D12" s="146" t="inlineStr">
        <is>
          <t>Must be $0 or explainable</t>
        </is>
      </c>
    </row>
    <row r="13" ht="24" customHeight="1" s="138">
      <c r="A13" s="155" t="inlineStr">
        <is>
          <t>941 QUARTERLY CROSS-CHECK</t>
        </is>
      </c>
      <c r="B13" s="143" t="n"/>
      <c r="C13" s="143" t="n"/>
      <c r="D13" s="144" t="n"/>
    </row>
    <row r="14" ht="24" customHeight="1" s="138">
      <c r="A14" s="146" t="inlineStr">
        <is>
          <t>Q1 Wages (per 941)</t>
        </is>
      </c>
      <c r="B14" s="186" t="n"/>
      <c r="C14" s="186" t="n"/>
      <c r="D14" s="146" t="n"/>
    </row>
    <row r="15" ht="24" customHeight="1" s="138">
      <c r="A15" s="150" t="inlineStr">
        <is>
          <t>Q2 Wages (per 941)</t>
        </is>
      </c>
      <c r="B15" s="187" t="n"/>
      <c r="C15" s="187" t="n"/>
      <c r="D15" s="150" t="n"/>
    </row>
    <row r="16" ht="24" customHeight="1" s="138">
      <c r="A16" s="146" t="inlineStr">
        <is>
          <t>Q3 Wages (per 941)</t>
        </is>
      </c>
      <c r="B16" s="186" t="n"/>
      <c r="C16" s="186" t="n"/>
      <c r="D16" s="146" t="n"/>
    </row>
    <row r="17" ht="24" customHeight="1" s="138">
      <c r="A17" s="150" t="inlineStr">
        <is>
          <t>Q4 Wages (per 941)</t>
        </is>
      </c>
      <c r="B17" s="187" t="n"/>
      <c r="C17" s="187" t="n"/>
      <c r="D17" s="150" t="n"/>
    </row>
    <row r="18" ht="24" customHeight="1" s="138">
      <c r="A18" s="146" t="inlineStr">
        <is>
          <t>Sum of All 941s</t>
        </is>
      </c>
      <c r="B18" s="186" t="n"/>
      <c r="C18" s="186" t="n"/>
      <c r="D18" s="146" t="inlineStr">
        <is>
          <t>Must match W-3</t>
        </is>
      </c>
    </row>
    <row r="19" ht="24" customHeight="1" s="138">
      <c r="A19" s="150" t="inlineStr">
        <is>
          <t>W-3 Total</t>
        </is>
      </c>
      <c r="B19" s="187" t="n"/>
      <c r="C19" s="187" t="n"/>
      <c r="D19" s="150" t="n"/>
    </row>
    <row r="20" ht="24" customHeight="1" s="138">
      <c r="A20" s="146" t="inlineStr">
        <is>
          <t>941 vs W-3 Variance</t>
        </is>
      </c>
      <c r="B20" s="186" t="n"/>
      <c r="C20" s="186" t="n"/>
      <c r="D20" s="146" t="inlineStr">
        <is>
          <t>Must be $0</t>
        </is>
      </c>
    </row>
    <row r="21" ht="24" customHeight="1" s="138">
      <c r="A21" s="155" t="inlineStr">
        <is>
          <t>OWNER COMPENSATION</t>
        </is>
      </c>
      <c r="B21" s="143" t="n"/>
      <c r="C21" s="143" t="n"/>
      <c r="D21" s="144" t="n"/>
    </row>
    <row r="22" ht="24" customHeight="1" s="138">
      <c r="A22" s="146" t="inlineStr">
        <is>
          <t>Joe W-2 Expected ($8K x 12)</t>
        </is>
      </c>
      <c r="B22" s="169" t="n">
        <v>96000</v>
      </c>
      <c r="C22" s="186" t="n"/>
      <c r="D22" s="146" t="n"/>
    </row>
    <row r="23" ht="24" customHeight="1" s="138">
      <c r="A23" s="150" t="inlineStr">
        <is>
          <t>Joe W-2 per Paychex</t>
        </is>
      </c>
      <c r="B23" s="187" t="n"/>
      <c r="C23" s="188" t="n">
        <v>93060</v>
      </c>
      <c r="D23" s="158" t="inlineStr">
        <is>
          <t>$2,940 variance - flag for CPA</t>
        </is>
      </c>
    </row>
    <row r="24" ht="24" customHeight="1" s="138">
      <c r="A24" s="155" t="inlineStr">
        <is>
          <t>CONTRACTORS (1099-NEC)</t>
        </is>
      </c>
      <c r="B24" s="143" t="n"/>
      <c r="C24" s="143" t="n"/>
      <c r="D24" s="144" t="n"/>
    </row>
    <row r="25" ht="24" customHeight="1" s="138">
      <c r="A25" s="146" t="inlineStr">
        <is>
          <t>Contractor Payments (per P&amp;L)</t>
        </is>
      </c>
      <c r="B25" s="169" t="n">
        <v>191580.26</v>
      </c>
      <c r="C25" s="186" t="n"/>
      <c r="D25" s="146" t="n"/>
    </row>
    <row r="26" ht="24" customHeight="1" s="138">
      <c r="A26" s="150" t="inlineStr">
        <is>
          <t>Total 1099-NEC Issued</t>
        </is>
      </c>
      <c r="B26" s="187" t="n"/>
      <c r="C26" s="187" t="n"/>
      <c r="D26" s="150" t="inlineStr">
        <is>
          <t>Should match or be close</t>
        </is>
      </c>
    </row>
    <row r="27" ht="24" customHeight="1" s="138">
      <c r="A27" s="146" t="inlineStr">
        <is>
          <t>Contractor Variance</t>
        </is>
      </c>
      <c r="B27" s="186" t="n"/>
      <c r="C27" s="186" t="n"/>
      <c r="D27" s="146" t="n"/>
    </row>
    <row r="28" ht="24" customHeight="1" s="138">
      <c r="A28" s="155" t="inlineStr">
        <is>
          <t>PAYROLL TAXES</t>
        </is>
      </c>
      <c r="B28" s="143" t="n"/>
      <c r="C28" s="143" t="n"/>
      <c r="D28" s="144" t="n"/>
    </row>
    <row r="29" ht="24" customHeight="1" s="138">
      <c r="A29" s="146" t="inlineStr">
        <is>
          <t>Payroll Taxes (per P&amp;L)</t>
        </is>
      </c>
      <c r="B29" s="169" t="n">
        <v>41684.8</v>
      </c>
      <c r="C29" s="186" t="n"/>
      <c r="D29" s="146" t="n"/>
    </row>
    <row r="30" ht="24" customHeight="1" s="138">
      <c r="A30" s="150" t="inlineStr">
        <is>
          <t>Payroll Taxes (per 941s)</t>
        </is>
      </c>
      <c r="B30" s="187" t="n"/>
      <c r="C30" s="187" t="n"/>
      <c r="D30" s="150" t="n"/>
    </row>
    <row r="31" ht="24" customHeight="1" s="138">
      <c r="A31" s="146" t="inlineStr">
        <is>
          <t>Payroll Tax Variance</t>
        </is>
      </c>
      <c r="B31" s="186" t="n"/>
      <c r="C31" s="186" t="n"/>
      <c r="D31" s="146" t="n"/>
    </row>
  </sheetData>
  <mergeCells count="8">
    <mergeCell ref="A1:D1"/>
    <mergeCell ref="A5:D5"/>
    <mergeCell ref="A9:D9"/>
    <mergeCell ref="A21:D21"/>
    <mergeCell ref="A24:D24"/>
    <mergeCell ref="A2:D2"/>
    <mergeCell ref="A28:D28"/>
    <mergeCell ref="A13:D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FF9800"/>
    <outlinePr summaryBelow="1" summaryRight="1"/>
    <pageSetUpPr fitToPage="0"/>
  </sheetPr>
  <dimension ref="A1:D4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8" customWidth="1" style="137" min="1" max="1"/>
    <col width="20" customWidth="1" style="137" min="2" max="2"/>
    <col width="34" customWidth="1" style="137" min="3" max="4"/>
  </cols>
  <sheetData>
    <row r="1" ht="31.5" customHeight="1" s="138">
      <c r="A1" s="139" t="inlineStr">
        <is>
          <t>Cypress Home - Rental Property (Schedule E)</t>
        </is>
      </c>
    </row>
    <row r="2" ht="19.5" customHeight="1" s="138">
      <c r="A2" s="140" t="inlineStr">
        <is>
          <t>Ownership: Personal Name | Blue = input cells | CPA uses for Schedule E</t>
        </is>
      </c>
    </row>
    <row r="4" ht="15" customHeight="1" s="138">
      <c r="A4" s="141" t="inlineStr">
        <is>
          <t>Line Item</t>
        </is>
      </c>
      <c r="B4" s="141" t="inlineStr">
        <is>
          <t>Annual Amount</t>
        </is>
      </c>
      <c r="C4" s="141" t="inlineStr">
        <is>
          <t>Google Drive Link</t>
        </is>
      </c>
      <c r="D4" s="141" t="inlineStr">
        <is>
          <t>Notes</t>
        </is>
      </c>
    </row>
    <row r="5" ht="24" customHeight="1" s="138">
      <c r="A5" s="154" t="inlineStr">
        <is>
          <t>INCOME</t>
        </is>
      </c>
      <c r="B5" s="143" t="n"/>
      <c r="C5" s="143" t="n"/>
      <c r="D5" s="144" t="n"/>
    </row>
    <row r="6" ht="24" customHeight="1" s="138">
      <c r="A6" s="146" t="inlineStr">
        <is>
          <t>Gross Rental Income Collected</t>
        </is>
      </c>
      <c r="B6" s="186" t="n">
        <v>38400</v>
      </c>
      <c r="C6" s="147" t="n"/>
      <c r="D6" s="146" t="inlineStr">
        <is>
          <t>From Avail or bank deposits</t>
        </is>
      </c>
    </row>
    <row r="7" ht="24" customHeight="1" s="138">
      <c r="A7" s="150" t="inlineStr">
        <is>
          <t>Other Income (Late Fees, Pet Deposits)</t>
        </is>
      </c>
      <c r="B7" s="187" t="n"/>
      <c r="C7" s="151" t="n"/>
      <c r="D7" s="150" t="n"/>
    </row>
    <row r="8" ht="24" customHeight="1" s="138">
      <c r="A8" s="146" t="inlineStr">
        <is>
          <t>Total Rental Income</t>
        </is>
      </c>
      <c r="B8" s="186" t="n">
        <v>38400</v>
      </c>
      <c r="C8" s="147" t="n"/>
      <c r="D8" s="146" t="inlineStr">
        <is>
          <t>Sum of above</t>
        </is>
      </c>
    </row>
    <row r="9" ht="24" customHeight="1" s="138">
      <c r="A9" s="154" t="inlineStr">
        <is>
          <t>EXPENSES (Deductible on Schedule E)</t>
        </is>
      </c>
      <c r="B9" s="143" t="n"/>
      <c r="C9" s="143" t="n"/>
      <c r="D9" s="144" t="n"/>
    </row>
    <row r="10" ht="24" customHeight="1" s="138">
      <c r="A10" s="146" t="inlineStr">
        <is>
          <t>Mortgage Interest (from 1098)</t>
        </is>
      </c>
      <c r="B10" s="186" t="n">
        <v>6271.63</v>
      </c>
      <c r="C10" s="147" t="n"/>
      <c r="D10" s="146" t="inlineStr">
        <is>
          <t>RENTAL 10/12 only = $6,271.63. Personal portion (2/12 = $1,254.33) goes to Schedule A. Total 1098: $7,525.96</t>
        </is>
      </c>
    </row>
    <row r="11" ht="24" customHeight="1" s="138">
      <c r="A11" s="150" t="inlineStr">
        <is>
          <t>Property Taxes</t>
        </is>
      </c>
      <c r="B11" s="187" t="n">
        <v>3680.13</v>
      </c>
      <c r="C11" s="151" t="n"/>
      <c r="D11" s="150" t="inlineStr">
        <is>
          <t>RENTAL 10/12 only = $3,680.13. Personal portion (2/12 = $736.03) goes to Schedule A. Total 1098 Box 10: $4,416.16</t>
        </is>
      </c>
    </row>
    <row r="12" ht="24" customHeight="1" s="138">
      <c r="A12" s="146" t="inlineStr">
        <is>
          <t>Homeowners / Landlord Insurance</t>
        </is>
      </c>
      <c r="B12" s="186" t="n">
        <v>3510</v>
      </c>
      <c r="C12" s="147" t="n"/>
      <c r="D12" s="146" t="n"/>
    </row>
    <row r="13" ht="24" customHeight="1" s="138">
      <c r="A13" s="150" t="inlineStr">
        <is>
          <t>HOA Fees</t>
        </is>
      </c>
      <c r="B13" s="187" t="n">
        <v>832.25</v>
      </c>
      <c r="C13" s="151" t="n"/>
      <c r="D13" s="150" t="n"/>
    </row>
    <row r="14" ht="24" customHeight="1" s="138">
      <c r="A14" s="146" t="inlineStr">
        <is>
          <t>Repairs &amp; Maintenance</t>
        </is>
      </c>
      <c r="B14" s="186" t="n">
        <v>0</v>
      </c>
      <c r="C14" s="147" t="n"/>
      <c r="D14" s="146" t="inlineStr">
        <is>
          <t>Confirmed $0 — Joe stated no repairs in 2025</t>
        </is>
      </c>
    </row>
    <row r="15" ht="24" customHeight="1" s="138">
      <c r="A15" s="150" t="inlineStr">
        <is>
          <t>Property Management Fees</t>
        </is>
      </c>
      <c r="B15" s="187" t="n"/>
      <c r="C15" s="151" t="n"/>
      <c r="D15" s="150" t="inlineStr">
        <is>
          <t>Avail fees if any</t>
        </is>
      </c>
    </row>
    <row r="16" ht="24" customHeight="1" s="138">
      <c r="A16" s="146" t="inlineStr">
        <is>
          <t>Utilities (if landlord pays)</t>
        </is>
      </c>
      <c r="B16" s="189" t="n"/>
      <c r="C16" s="147" t="n"/>
      <c r="D16" s="146" t="inlineStr">
        <is>
          <t>City of Houston water — 12 payments visible in WF bank stmts. TBD — need exact amounts</t>
        </is>
      </c>
    </row>
    <row r="17" ht="24" customHeight="1" s="138">
      <c r="A17" s="150" t="inlineStr">
        <is>
          <t>Lawn Care / Landscaping</t>
        </is>
      </c>
      <c r="B17" s="187" t="n">
        <v>1045</v>
      </c>
      <c r="C17" s="151" t="n"/>
      <c r="D17" s="150" t="inlineStr">
        <is>
          <t>Jose (lawn care) — 21 Zelle payments $35-$100. SEPARATE from $3,600 landscaping prep (see Other Expenses row)</t>
        </is>
      </c>
    </row>
    <row r="18" ht="24" customHeight="1" s="138">
      <c r="A18" s="146" t="inlineStr">
        <is>
          <t>Pest Control</t>
        </is>
      </c>
      <c r="B18" s="186" t="n"/>
      <c r="C18" s="147" t="n"/>
      <c r="D18" s="146" t="n"/>
    </row>
    <row r="19" ht="24" customHeight="1" s="138">
      <c r="A19" s="150" t="inlineStr">
        <is>
          <t>Advertising / Listing Fees</t>
        </is>
      </c>
      <c r="B19" s="187" t="n"/>
      <c r="C19" s="151" t="n"/>
      <c r="D19" s="150" t="n"/>
    </row>
    <row r="20" ht="24" customHeight="1" s="138">
      <c r="A20" s="146" t="inlineStr">
        <is>
          <t>Legal &amp; Professional Fees</t>
        </is>
      </c>
      <c r="B20" s="186" t="n"/>
      <c r="C20" s="147" t="n"/>
      <c r="D20" s="146" t="n"/>
    </row>
    <row r="21" ht="24" customHeight="1" s="138">
      <c r="A21" s="150" t="inlineStr">
        <is>
          <t>Travel to/from Property</t>
        </is>
      </c>
      <c r="B21" s="187" t="n"/>
      <c r="C21" s="151" t="n"/>
      <c r="D21" s="150" t="inlineStr">
        <is>
          <t>Mileage or actual</t>
        </is>
      </c>
    </row>
    <row r="22" ht="24" customHeight="1" s="138">
      <c r="A22" s="146" t="inlineStr">
        <is>
          <t>Cleaning / Turnover Costs</t>
        </is>
      </c>
      <c r="B22" s="186" t="n"/>
      <c r="C22" s="147" t="n"/>
      <c r="D22" s="146" t="n"/>
    </row>
    <row r="23" ht="24" customHeight="1" s="138">
      <c r="A23" s="150" t="inlineStr">
        <is>
          <t>Depreciation</t>
        </is>
      </c>
      <c r="B23" s="189" t="n"/>
      <c r="C23" s="151" t="n"/>
      <c r="D23" s="190" t="inlineStr">
        <is>
          <t>CPA calculates. Purchase price CONFIRMED: $247,500 (08/06/2019). Depreciable basis: $247,500 minus land (est 15-20%) = ~$198,000-$210,250. Annual: ~$7,200-$7,645/yr. 2025 (10 months Mar-Dec): ~$6,000-$6,370. Conversion date: 03/01/2025.</t>
        </is>
      </c>
    </row>
    <row r="24" ht="24" customHeight="1" s="138">
      <c r="A24" s="146" t="inlineStr">
        <is>
          <t>Other Expenses</t>
        </is>
      </c>
      <c r="B24" s="186" t="n">
        <v>5400</v>
      </c>
      <c r="C24" s="147" t="n"/>
      <c r="D24" s="146" t="inlineStr">
        <is>
          <t>Pool Maintenance $1,800 ($180/mo x 10 mo, Mar-Dec, joint checking) + Pre-rental Landscaping $3,600 (Feb: $1,700+$1,900 — CPA: expense or add to basis?)</t>
        </is>
      </c>
    </row>
    <row r="25" ht="24" customHeight="1" s="138">
      <c r="A25" s="150" t="inlineStr">
        <is>
          <t>Total Expenses</t>
        </is>
      </c>
      <c r="B25" s="187">
        <f>SUM(B10:B24)</f>
        <v/>
      </c>
      <c r="C25" s="151" t="n"/>
      <c r="D25" s="150" t="inlineStr">
        <is>
          <t>Excl. depreciation (CPA adds separately) and water (TBD)</t>
        </is>
      </c>
    </row>
    <row r="26" ht="24" customHeight="1" s="138">
      <c r="A26" s="162" t="inlineStr">
        <is>
          <t>NET PROFIT / LOSS</t>
        </is>
      </c>
      <c r="B26" s="143" t="n"/>
      <c r="C26" s="143" t="n"/>
      <c r="D26" s="144" t="n"/>
    </row>
    <row r="27" ht="24" customHeight="1" s="138">
      <c r="A27" s="146" t="inlineStr">
        <is>
          <t>Net Rental Income (Loss)</t>
        </is>
      </c>
      <c r="B27" s="186">
        <f>B8-B25</f>
        <v/>
      </c>
      <c r="C27" s="147" t="n"/>
      <c r="D27" s="146" t="inlineStr">
        <is>
          <t>Excludes depreciation — CPA will add as non-cash deduction</t>
        </is>
      </c>
    </row>
    <row r="28" ht="24" customHeight="1" s="138">
      <c r="A28" s="161" t="inlineStr">
        <is>
          <t>KEY DOCUMENTS FOR CPA</t>
        </is>
      </c>
      <c r="B28" s="143" t="n"/>
      <c r="C28" s="143" t="n"/>
      <c r="D28" s="144" t="n"/>
    </row>
    <row r="29" ht="24" customHeight="1" s="138">
      <c r="A29" s="146" t="inlineStr">
        <is>
          <t>Form 1098 (Mortgage Interest)</t>
        </is>
      </c>
      <c r="B29" s="186" t="n">
        <v>7525.96</v>
      </c>
      <c r="C29" s="147" t="n"/>
      <c r="D29" s="146" t="inlineStr">
        <is>
          <t>Upload to Drive</t>
        </is>
      </c>
    </row>
    <row r="30" ht="24" customHeight="1" s="138">
      <c r="A30" s="150" t="inlineStr">
        <is>
          <t>Property Tax Statement</t>
        </is>
      </c>
      <c r="B30" s="187" t="n">
        <v>4416.16</v>
      </c>
      <c r="C30" s="151" t="n"/>
      <c r="D30" s="150" t="inlineStr">
        <is>
          <t>Upload to Drive</t>
        </is>
      </c>
    </row>
    <row r="31" ht="24" customHeight="1" s="138">
      <c r="A31" s="146" t="inlineStr">
        <is>
          <t>Insurance Declaration Page</t>
        </is>
      </c>
      <c r="B31" s="186" t="n">
        <v>3510</v>
      </c>
      <c r="C31" s="147" t="n"/>
      <c r="D31" s="146" t="inlineStr">
        <is>
          <t>Upload to Drive</t>
        </is>
      </c>
    </row>
    <row r="32" ht="24" customHeight="1" s="138">
      <c r="A32" s="150" t="inlineStr">
        <is>
          <t>Repair / Expense Receipts</t>
        </is>
      </c>
      <c r="B32" s="187" t="n"/>
      <c r="C32" s="151" t="n"/>
      <c r="D32" s="150" t="inlineStr">
        <is>
          <t>Upload to Drive</t>
        </is>
      </c>
    </row>
    <row r="33" ht="24" customHeight="1" s="138">
      <c r="A33" s="146" t="inlineStr">
        <is>
          <t>Lease Agreement (Current)</t>
        </is>
      </c>
      <c r="B33" s="186" t="n"/>
      <c r="C33" s="147" t="n"/>
      <c r="D33" s="146" t="inlineStr">
        <is>
          <t>CPA may request</t>
        </is>
      </c>
    </row>
    <row r="35" ht="21.75" customHeight="1" s="138">
      <c r="A35" s="191" t="inlineStr">
        <is>
          <t>CYPRESS PURCHASE — CONFIRMED FROM CLOSING STATEMENT (Fidelity National Title, 08/06/2019)</t>
        </is>
      </c>
    </row>
    <row r="36" ht="18" customHeight="1" s="138">
      <c r="A36" s="192" t="inlineStr">
        <is>
          <t>Settlement Date</t>
        </is>
      </c>
      <c r="B36" s="192" t="inlineStr">
        <is>
          <t>August 6, 2019</t>
        </is>
      </c>
      <c r="C36" s="193" t="inlineStr">
        <is>
          <t>Fidelity National Title — FAH19006372</t>
        </is>
      </c>
      <c r="D36" s="194" t="n"/>
    </row>
    <row r="37" ht="18" customHeight="1" s="138">
      <c r="A37" s="195" t="inlineStr">
        <is>
          <t>Purchase Price</t>
        </is>
      </c>
      <c r="B37" s="196" t="n">
        <v>247500</v>
      </c>
      <c r="C37" s="197" t="inlineStr">
        <is>
          <t>✅ CONFIRMED (was estimated $240K)</t>
        </is>
      </c>
      <c r="D37" s="194" t="n"/>
    </row>
    <row r="38" ht="18" customHeight="1" s="138">
      <c r="A38" s="192" t="inlineStr">
        <is>
          <t>Loan Amount</t>
        </is>
      </c>
      <c r="B38" s="198" t="n">
        <v>235125</v>
      </c>
      <c r="C38" s="193" t="inlineStr">
        <is>
          <t>Texas Dow Employees Credit Union, Loan #201904836</t>
        </is>
      </c>
      <c r="D38" s="194" t="n"/>
    </row>
    <row r="39" ht="18" customHeight="1" s="138">
      <c r="A39" s="199" t="inlineStr">
        <is>
          <t>Down Payment</t>
        </is>
      </c>
      <c r="B39" s="200" t="n">
        <v>12375</v>
      </c>
      <c r="C39" s="197" t="inlineStr">
        <is>
          <t>$247,500 - $235,125</t>
        </is>
      </c>
      <c r="D39" s="194" t="n"/>
    </row>
    <row r="40" ht="18" customHeight="1" s="138">
      <c r="A40" s="192" t="inlineStr">
        <is>
          <t>Balance Due Borrower</t>
        </is>
      </c>
      <c r="B40" s="198" t="n">
        <v>9836.780000000001</v>
      </c>
      <c r="C40" s="193" t="inlineStr">
        <is>
          <t>Actual cash to close (includes all fees)</t>
        </is>
      </c>
      <c r="D40" s="194" t="n"/>
    </row>
    <row r="41" ht="18" customHeight="1" s="138">
      <c r="A41" s="199" t="inlineStr">
        <is>
          <t>Borrower Name</t>
        </is>
      </c>
      <c r="B41" s="199" t="inlineStr">
        <is>
          <t>Aubrey Fearn</t>
        </is>
      </c>
      <c r="C41" s="197" t="inlineStr">
        <is>
          <t>Maiden name — same as student loan 1098-E</t>
        </is>
      </c>
      <c r="D41" s="194" t="n"/>
    </row>
    <row r="42" ht="18" customHeight="1" s="138">
      <c r="A42" s="192" t="inlineStr">
        <is>
          <t>Seller Name</t>
        </is>
      </c>
      <c r="B42" s="192" t="inlineStr">
        <is>
          <t>Nathan Dyer</t>
        </is>
      </c>
      <c r="C42" s="193" t="inlineStr">
        <is>
          <t>17914 Oak Park Bend Lane, Cypress TX 77433</t>
        </is>
      </c>
      <c r="D42" s="194" t="n"/>
    </row>
    <row r="43" ht="18" customHeight="1" s="138">
      <c r="A43" s="199" t="inlineStr">
        <is>
          <t>HOA at Closing</t>
        </is>
      </c>
      <c r="B43" s="200" t="n">
        <v>772.5</v>
      </c>
      <c r="C43" s="197" t="inlineStr">
        <is>
          <t>Annual HOA (Lone Oak Village) — matches current records</t>
        </is>
      </c>
      <c r="D43" s="194" t="n"/>
    </row>
    <row r="44" ht="18" customHeight="1" s="138">
      <c r="A44" s="201" t="inlineStr">
        <is>
          <t>Est. Depreciable Basis</t>
        </is>
      </c>
      <c r="B44" s="202" t="inlineStr">
        <is>
          <t>~$198,000–$210,250</t>
        </is>
      </c>
      <c r="C44" s="193" t="inlineStr">
        <is>
          <t>($247,500 minus 15-20% land). CPA confirms exact land value.</t>
        </is>
      </c>
      <c r="D44" s="194" t="n"/>
    </row>
    <row r="45" ht="18" customHeight="1" s="138">
      <c r="A45" s="199" t="inlineStr">
        <is>
          <t>Est. Annual Depreciation</t>
        </is>
      </c>
      <c r="B45" s="199" t="inlineStr">
        <is>
          <t>~$7,200–$7,645/yr</t>
        </is>
      </c>
      <c r="C45" s="197" t="inlineStr">
        <is>
          <t>$198K-$210K / 27.5 years</t>
        </is>
      </c>
      <c r="D45" s="194" t="n"/>
    </row>
    <row r="46" ht="18" customHeight="1" s="138">
      <c r="A46" s="201" t="inlineStr">
        <is>
          <t>2025 Depreciation (10 mo)</t>
        </is>
      </c>
      <c r="B46" s="202" t="inlineStr">
        <is>
          <t>~$6,000–$6,370</t>
        </is>
      </c>
      <c r="C46" s="193" t="inlineStr">
        <is>
          <t>Mar-Dec 2025 (10/12 of annual). Non-cash deduction.</t>
        </is>
      </c>
      <c r="D46" s="194" t="n"/>
    </row>
  </sheetData>
  <mergeCells count="18">
    <mergeCell ref="C43:D43"/>
    <mergeCell ref="A1:D1"/>
    <mergeCell ref="A9:D9"/>
    <mergeCell ref="A5:D5"/>
    <mergeCell ref="C46:D46"/>
    <mergeCell ref="C38:D38"/>
    <mergeCell ref="A35:D35"/>
    <mergeCell ref="A26:D26"/>
    <mergeCell ref="C41:D41"/>
    <mergeCell ref="C37:D37"/>
    <mergeCell ref="C42:D42"/>
    <mergeCell ref="C36:D36"/>
    <mergeCell ref="C45:D45"/>
    <mergeCell ref="C44:D44"/>
    <mergeCell ref="A2:D2"/>
    <mergeCell ref="C40:D40"/>
    <mergeCell ref="A28:D28"/>
    <mergeCell ref="C39:D3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F9800"/>
    <outlinePr summaryBelow="1" summaryRight="1"/>
    <pageSetUpPr fitToPage="0"/>
  </sheetPr>
  <dimension ref="A1:D3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8" customWidth="1" style="137" min="1" max="1"/>
    <col width="20" customWidth="1" style="137" min="2" max="2"/>
    <col width="34" customWidth="1" style="137" min="3" max="4"/>
  </cols>
  <sheetData>
    <row r="1" ht="31.5" customHeight="1" s="138">
      <c r="A1" s="139" t="inlineStr">
        <is>
          <t>Briarwest Home - Rental Property (Schedule E)</t>
        </is>
      </c>
    </row>
    <row r="2" ht="19.5" customHeight="1" s="138">
      <c r="A2" s="140" t="inlineStr">
        <is>
          <t>Ownership: Possibly LLC - Confirm with CPA | Blue = input cells | CPA uses for Schedule E</t>
        </is>
      </c>
    </row>
    <row r="4" ht="15" customHeight="1" s="138">
      <c r="A4" s="141" t="inlineStr">
        <is>
          <t>Line Item</t>
        </is>
      </c>
      <c r="B4" s="141" t="inlineStr">
        <is>
          <t>Annual Amount</t>
        </is>
      </c>
      <c r="C4" s="141" t="inlineStr">
        <is>
          <t>Google Drive Link</t>
        </is>
      </c>
      <c r="D4" s="141" t="inlineStr">
        <is>
          <t>Notes</t>
        </is>
      </c>
    </row>
    <row r="5" ht="24" customHeight="1" s="138">
      <c r="A5" s="154" t="inlineStr">
        <is>
          <t>INCOME</t>
        </is>
      </c>
      <c r="B5" s="143" t="n"/>
      <c r="C5" s="143" t="n"/>
      <c r="D5" s="144" t="n"/>
    </row>
    <row r="6" ht="24" customHeight="1" s="138">
      <c r="A6" s="146" t="inlineStr">
        <is>
          <t>Gross Rental Income Collected</t>
        </is>
      </c>
      <c r="B6" s="186" t="n">
        <v>95895</v>
      </c>
      <c r="C6" s="147" t="n"/>
      <c r="D6" s="146" t="inlineStr">
        <is>
          <t>From Avail or bank deposits</t>
        </is>
      </c>
    </row>
    <row r="7" ht="24" customHeight="1" s="138">
      <c r="A7" s="150" t="inlineStr">
        <is>
          <t>Other Income (Late Fees, Pet Deposits)</t>
        </is>
      </c>
      <c r="B7" s="187" t="n"/>
      <c r="C7" s="151" t="n"/>
      <c r="D7" s="150" t="n"/>
    </row>
    <row r="8" ht="24" customHeight="1" s="138">
      <c r="A8" s="146" t="inlineStr">
        <is>
          <t>Total Rental Income</t>
        </is>
      </c>
      <c r="B8" s="186" t="n">
        <v>95895</v>
      </c>
      <c r="C8" s="147" t="n"/>
      <c r="D8" s="146" t="inlineStr">
        <is>
          <t>Sum of above</t>
        </is>
      </c>
    </row>
    <row r="9" ht="24" customHeight="1" s="138">
      <c r="A9" s="154" t="inlineStr">
        <is>
          <t>EXPENSES (Deductible on Schedule E)</t>
        </is>
      </c>
      <c r="B9" s="143" t="n"/>
      <c r="C9" s="143" t="n"/>
      <c r="D9" s="144" t="n"/>
    </row>
    <row r="10" ht="24" customHeight="1" s="138">
      <c r="A10" s="146" t="inlineStr">
        <is>
          <t>Mortgage Interest (from 1098)</t>
        </is>
      </c>
      <c r="B10" s="186" t="n">
        <v>3837.79</v>
      </c>
      <c r="C10" s="147" t="n"/>
      <c r="D10" s="146" t="inlineStr">
        <is>
          <t>Link 1098 doc</t>
        </is>
      </c>
    </row>
    <row r="11" ht="24" customHeight="1" s="138">
      <c r="A11" s="150" t="inlineStr">
        <is>
          <t>Property Taxes</t>
        </is>
      </c>
      <c r="B11" s="187" t="n">
        <v>1729.86</v>
      </c>
      <c r="C11" s="151" t="n"/>
      <c r="D11" s="150" t="n"/>
    </row>
    <row r="12" ht="24" customHeight="1" s="138">
      <c r="A12" s="146" t="inlineStr">
        <is>
          <t>Homeowners / Landlord Insurance</t>
        </is>
      </c>
      <c r="B12" s="189" t="n">
        <v>5384</v>
      </c>
      <c r="C12" s="147" t="n"/>
      <c r="D12" s="146" t="inlineStr">
        <is>
          <t>⚠️ RECONCILE: 1098 escrow shows $5,384. SageSure DP3 policy = $2,679/yr. One may have replaced the other mid-year, or escrow includes flood/other. CPA must determine correct deductible amount.</t>
        </is>
      </c>
    </row>
    <row r="13" ht="24" customHeight="1" s="138">
      <c r="A13" s="150" t="inlineStr">
        <is>
          <t>HOA Fees</t>
        </is>
      </c>
      <c r="B13" s="187" t="n">
        <v>4020</v>
      </c>
      <c r="C13" s="151" t="n"/>
      <c r="D13" s="150" t="n"/>
    </row>
    <row r="14" ht="24" customHeight="1" s="138">
      <c r="A14" s="146" t="inlineStr">
        <is>
          <t>Repairs &amp; Maintenance</t>
        </is>
      </c>
      <c r="B14" s="189" t="n"/>
      <c r="C14" s="147" t="n"/>
      <c r="D14" s="146" t="inlineStr">
        <is>
          <t>No repair log kept. May reconstruct from bank/CC statements. CPA: review Chase CC (143pg) and Amex CSV (598 txns) for Briarwest repairs.</t>
        </is>
      </c>
    </row>
    <row r="15" ht="24" customHeight="1" s="138">
      <c r="A15" s="150" t="inlineStr">
        <is>
          <t>Property Management Fees</t>
        </is>
      </c>
      <c r="B15" s="187" t="n"/>
      <c r="C15" s="151" t="n"/>
      <c r="D15" s="150" t="inlineStr">
        <is>
          <t>Avail fees if any</t>
        </is>
      </c>
    </row>
    <row r="16" ht="24" customHeight="1" s="138">
      <c r="A16" s="146" t="inlineStr">
        <is>
          <t>Utilities (if landlord pays)</t>
        </is>
      </c>
      <c r="B16" s="186" t="n"/>
      <c r="C16" s="147" t="n"/>
      <c r="D16" s="146" t="inlineStr">
        <is>
          <t>City of Houston water visible in WF personal bank stmts. Confirm if landlord-paid vs tenant-paid.</t>
        </is>
      </c>
    </row>
    <row r="17" ht="24" customHeight="1" s="138">
      <c r="A17" s="150" t="inlineStr">
        <is>
          <t>Lawn Care / Landscaping</t>
        </is>
      </c>
      <c r="B17" s="187" t="n"/>
      <c r="C17" s="151" t="n"/>
      <c r="D17" s="150" t="n"/>
    </row>
    <row r="18" ht="24" customHeight="1" s="138">
      <c r="A18" s="146" t="inlineStr">
        <is>
          <t>Pest Control</t>
        </is>
      </c>
      <c r="B18" s="186" t="n"/>
      <c r="C18" s="147" t="n"/>
      <c r="D18" s="146" t="n"/>
    </row>
    <row r="19" ht="24" customHeight="1" s="138">
      <c r="A19" s="150" t="inlineStr">
        <is>
          <t>Advertising / Listing Fees</t>
        </is>
      </c>
      <c r="B19" s="187" t="n"/>
      <c r="C19" s="151" t="n"/>
      <c r="D19" s="150" t="n"/>
    </row>
    <row r="20" ht="24" customHeight="1" s="138">
      <c r="A20" s="146" t="inlineStr">
        <is>
          <t>Legal &amp; Professional Fees</t>
        </is>
      </c>
      <c r="B20" s="186" t="n"/>
      <c r="C20" s="147" t="n"/>
      <c r="D20" s="146" t="n"/>
    </row>
    <row r="21" ht="24" customHeight="1" s="138">
      <c r="A21" s="150" t="inlineStr">
        <is>
          <t>Travel to/from Property</t>
        </is>
      </c>
      <c r="B21" s="187" t="n"/>
      <c r="C21" s="151" t="n"/>
      <c r="D21" s="150" t="inlineStr">
        <is>
          <t>Mileage or actual</t>
        </is>
      </c>
    </row>
    <row r="22" ht="24" customHeight="1" s="138">
      <c r="A22" s="146" t="inlineStr">
        <is>
          <t>Cleaning / Turnover Costs</t>
        </is>
      </c>
      <c r="B22" s="186" t="n"/>
      <c r="C22" s="147" t="n"/>
      <c r="D22" s="146" t="n"/>
    </row>
    <row r="23" ht="24" customHeight="1" s="138">
      <c r="A23" s="150" t="inlineStr">
        <is>
          <t>Depreciation</t>
        </is>
      </c>
      <c r="B23" s="189" t="n"/>
      <c r="C23" s="151" t="n"/>
      <c r="D23" s="150" t="inlineStr">
        <is>
          <t>CPA calculates. Property purchased Nov 2020 at ~$107K+ (confirm purchase price). Always rental — full 27.5yr schedule. May have prior depreciation already.</t>
        </is>
      </c>
    </row>
    <row r="24" ht="24" customHeight="1" s="138">
      <c r="A24" s="146" t="inlineStr">
        <is>
          <t>Other Expenses</t>
        </is>
      </c>
      <c r="B24" s="186" t="n"/>
      <c r="C24" s="147" t="n"/>
      <c r="D24" s="146" t="n"/>
    </row>
    <row r="25" ht="24" customHeight="1" s="138">
      <c r="A25" s="150" t="inlineStr">
        <is>
          <t>Total Expenses</t>
        </is>
      </c>
      <c r="B25" s="187">
        <f>SUM(B10:B24)</f>
        <v/>
      </c>
      <c r="C25" s="151" t="n"/>
      <c r="D25" s="150" t="inlineStr">
        <is>
          <t>Excludes depreciation and unknown repairs</t>
        </is>
      </c>
    </row>
    <row r="26" ht="24" customHeight="1" s="138">
      <c r="A26" s="162" t="inlineStr">
        <is>
          <t>NET PROFIT / LOSS</t>
        </is>
      </c>
      <c r="B26" s="143" t="n"/>
      <c r="C26" s="143" t="n"/>
      <c r="D26" s="144" t="n"/>
    </row>
    <row r="27" ht="24" customHeight="1" s="138">
      <c r="A27" s="146" t="inlineStr">
        <is>
          <t>Net Rental Income (Loss)</t>
        </is>
      </c>
      <c r="B27" s="186">
        <f>B8-B25</f>
        <v/>
      </c>
      <c r="C27" s="147" t="n"/>
      <c r="D27" s="146" t="inlineStr">
        <is>
          <t>Excludes depreciation — CPA adds separately</t>
        </is>
      </c>
    </row>
    <row r="28" ht="24" customHeight="1" s="138">
      <c r="A28" s="161" t="inlineStr">
        <is>
          <t>KEY DOCUMENTS FOR CPA</t>
        </is>
      </c>
      <c r="B28" s="143" t="n"/>
      <c r="C28" s="143" t="n"/>
      <c r="D28" s="144" t="n"/>
    </row>
    <row r="29" ht="24" customHeight="1" s="138">
      <c r="A29" s="146" t="inlineStr">
        <is>
          <t>Form 1098 (Mortgage Interest)</t>
        </is>
      </c>
      <c r="B29" s="186" t="n">
        <v>3837.79</v>
      </c>
      <c r="C29" s="147" t="n"/>
      <c r="D29" s="146" t="inlineStr">
        <is>
          <t>Upload to Drive</t>
        </is>
      </c>
    </row>
    <row r="30" ht="24" customHeight="1" s="138">
      <c r="A30" s="150" t="inlineStr">
        <is>
          <t>Property Tax Statement</t>
        </is>
      </c>
      <c r="B30" s="187" t="n">
        <v>1729.86</v>
      </c>
      <c r="C30" s="151" t="n"/>
      <c r="D30" s="150" t="inlineStr">
        <is>
          <t>Upload to Drive</t>
        </is>
      </c>
    </row>
    <row r="31" ht="24" customHeight="1" s="138">
      <c r="A31" s="146" t="inlineStr">
        <is>
          <t>Insurance Declaration Page</t>
        </is>
      </c>
      <c r="B31" s="186" t="n">
        <v>5384</v>
      </c>
      <c r="C31" s="147" t="n"/>
      <c r="D31" s="146" t="inlineStr">
        <is>
          <t>See Row 12 — reconcile $5,384 escrow vs $2,679 SageSure DP3 policy</t>
        </is>
      </c>
    </row>
    <row r="32" ht="24" customHeight="1" s="138">
      <c r="A32" s="150" t="inlineStr">
        <is>
          <t>Repair / Expense Receipts</t>
        </is>
      </c>
      <c r="B32" s="187" t="n"/>
      <c r="C32" s="151" t="n"/>
      <c r="D32" s="150" t="inlineStr">
        <is>
          <t>Upload to Drive</t>
        </is>
      </c>
    </row>
    <row r="33" ht="24" customHeight="1" s="138">
      <c r="A33" s="146" t="inlineStr">
        <is>
          <t>Lease Agreement (Current)</t>
        </is>
      </c>
      <c r="B33" s="186" t="n"/>
      <c r="C33" s="147" t="n"/>
      <c r="D33" s="146" t="inlineStr">
        <is>
          <t>CPA may request</t>
        </is>
      </c>
    </row>
  </sheetData>
  <mergeCells count="6">
    <mergeCell ref="A1:D1"/>
    <mergeCell ref="A5:D5"/>
    <mergeCell ref="A9:D9"/>
    <mergeCell ref="A26:D26"/>
    <mergeCell ref="A2:D2"/>
    <mergeCell ref="A28:D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607D8B"/>
    <outlinePr summaryBelow="1" summaryRight="1"/>
    <pageSetUpPr fitToPage="0"/>
  </sheetPr>
  <dimension ref="A1:C3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6" customWidth="1" style="137" min="1" max="1"/>
    <col width="30" customWidth="1" style="137" min="2" max="2"/>
    <col width="40" customWidth="1" style="137" min="3" max="3"/>
  </cols>
  <sheetData>
    <row r="1" ht="31.5" customHeight="1" s="138">
      <c r="A1" s="139" t="inlineStr">
        <is>
          <t>2022 GMC Sierra 2500 - Vehicle / Asset Tracker</t>
        </is>
      </c>
    </row>
    <row r="2" ht="19.5" customHeight="1" s="138">
      <c r="A2" s="140" t="inlineStr">
        <is>
          <t>Purchased personally, not primary business use | CPA determines best deduction method | Blue = enter estimates</t>
        </is>
      </c>
    </row>
    <row r="4" ht="15" customHeight="1" s="138">
      <c r="A4" s="141" t="inlineStr">
        <is>
          <t>Item</t>
        </is>
      </c>
      <c r="B4" s="141" t="inlineStr">
        <is>
          <t>Value</t>
        </is>
      </c>
      <c r="C4" s="141" t="inlineStr">
        <is>
          <t>Notes</t>
        </is>
      </c>
    </row>
    <row r="5" ht="24" customHeight="1" s="138">
      <c r="A5" s="155" t="inlineStr">
        <is>
          <t>PURCHASE DETAILS</t>
        </is>
      </c>
      <c r="B5" s="143" t="n"/>
      <c r="C5" s="144" t="n"/>
    </row>
    <row r="6" ht="24" customHeight="1" s="138">
      <c r="A6" s="146" t="inlineStr">
        <is>
          <t>Vehicle</t>
        </is>
      </c>
      <c r="B6" s="146" t="inlineStr">
        <is>
          <t>2022 GMC Sierra 2500 AT4</t>
        </is>
      </c>
      <c r="C6" s="146" t="n"/>
    </row>
    <row r="7" ht="24" customHeight="1" s="138">
      <c r="A7" s="150" t="inlineStr">
        <is>
          <t>Purchase Price</t>
        </is>
      </c>
      <c r="B7" s="170" t="n">
        <v>54990</v>
      </c>
      <c r="C7" s="150" t="inlineStr">
        <is>
          <t>Per dealer agreement</t>
        </is>
      </c>
    </row>
    <row r="8" ht="24" customHeight="1" s="138">
      <c r="A8" s="146" t="inlineStr">
        <is>
          <t>Down Payment</t>
        </is>
      </c>
      <c r="B8" s="173" t="n"/>
      <c r="C8" s="146" t="inlineStr">
        <is>
          <t>Enter actual</t>
        </is>
      </c>
    </row>
    <row r="9" ht="24" customHeight="1" s="138">
      <c r="A9" s="150" t="inlineStr">
        <is>
          <t>Amount Financed</t>
        </is>
      </c>
      <c r="B9" s="170" t="n">
        <v>38162.32</v>
      </c>
      <c r="C9" s="150" t="inlineStr">
        <is>
          <t>Through AutoNation</t>
        </is>
      </c>
    </row>
    <row r="10" ht="24" customHeight="1" s="138">
      <c r="A10" s="146" t="inlineStr">
        <is>
          <t>APR</t>
        </is>
      </c>
      <c r="B10" s="146" t="inlineStr">
        <is>
          <t>6.99%</t>
        </is>
      </c>
      <c r="C10" s="146" t="n"/>
    </row>
    <row r="11" ht="24" customHeight="1" s="138">
      <c r="A11" s="150" t="inlineStr">
        <is>
          <t>Monthly Payment</t>
        </is>
      </c>
      <c r="B11" s="171" t="n"/>
      <c r="C11" s="150" t="inlineStr">
        <is>
          <t>Enter from loan docs</t>
        </is>
      </c>
    </row>
    <row r="12" ht="24" customHeight="1" s="138">
      <c r="A12" s="146" t="inlineStr">
        <is>
          <t>Purchase Date</t>
        </is>
      </c>
      <c r="B12" s="173" t="n"/>
      <c r="C12" s="146" t="inlineStr">
        <is>
          <t>Enter date</t>
        </is>
      </c>
    </row>
    <row r="13" ht="24" customHeight="1" s="138">
      <c r="A13" s="155" t="inlineStr">
        <is>
          <t>BUSINESS USE</t>
        </is>
      </c>
      <c r="B13" s="143" t="n"/>
      <c r="C13" s="144" t="n"/>
    </row>
    <row r="14" ht="24" customHeight="1" s="138">
      <c r="A14" s="146" t="inlineStr">
        <is>
          <t>Estimated Business Use %</t>
        </is>
      </c>
      <c r="B14" s="203" t="n">
        <v>0.6</v>
      </c>
      <c r="C14" s="146" t="inlineStr">
        <is>
          <t>CPA NEEDS THIS</t>
        </is>
      </c>
    </row>
    <row r="15" ht="24" customHeight="1" s="138">
      <c r="A15" s="150" t="inlineStr">
        <is>
          <t>Total Miles Driven (2025)</t>
        </is>
      </c>
      <c r="B15" s="171" t="n"/>
      <c r="C15" s="150" t="inlineStr">
        <is>
          <t>Track with MileIQ or manual log</t>
        </is>
      </c>
    </row>
    <row r="16" ht="24" customHeight="1" s="138">
      <c r="A16" s="146" t="inlineStr">
        <is>
          <t>Business Miles (2025)</t>
        </is>
      </c>
      <c r="B16" s="173" t="n"/>
      <c r="C16" s="146" t="n"/>
    </row>
    <row r="17" ht="24" customHeight="1" s="138">
      <c r="A17" s="150" t="inlineStr">
        <is>
          <t>Personal Miles (2025)</t>
        </is>
      </c>
      <c r="B17" s="171" t="n"/>
      <c r="C17" s="150" t="n"/>
    </row>
    <row r="18" ht="24" customHeight="1" s="138">
      <c r="A18" s="146" t="inlineStr">
        <is>
          <t>Actual Business Use %</t>
        </is>
      </c>
      <c r="B18" s="204" t="n">
        <v>0.6</v>
      </c>
      <c r="C18" s="146" t="inlineStr">
        <is>
          <t>Business miles / total miles</t>
        </is>
      </c>
    </row>
    <row r="19" ht="24" customHeight="1" s="138">
      <c r="A19" s="162" t="inlineStr">
        <is>
          <t>DEDUCTION OPTIONS (CPA DECIDES)</t>
        </is>
      </c>
      <c r="B19" s="143" t="n"/>
      <c r="C19" s="144" t="n"/>
    </row>
    <row r="20" ht="24" customHeight="1" s="138">
      <c r="A20" s="146" t="inlineStr">
        <is>
          <t>Option A: Standard Mileage Rate</t>
        </is>
      </c>
      <c r="B20" s="146" t="inlineStr">
        <is>
          <t>$0.70/mile (2025 IRS rate)</t>
        </is>
      </c>
      <c r="C20" s="146" t="inlineStr">
        <is>
          <t>Simpler - just need mileage log</t>
        </is>
      </c>
    </row>
    <row r="21" ht="24" customHeight="1" s="138">
      <c r="A21" s="150" t="inlineStr">
        <is>
          <t>Option B: Actual Expense Method</t>
        </is>
      </c>
      <c r="B21" s="171" t="n"/>
      <c r="C21" s="150" t="inlineStr">
        <is>
          <t>Gas, insurance, repairs x biz %</t>
        </is>
      </c>
    </row>
    <row r="22" ht="24" customHeight="1" s="138">
      <c r="A22" s="146" t="inlineStr">
        <is>
          <t>Option C: Depreciation (MACRS)</t>
        </is>
      </c>
      <c r="B22" s="173" t="n"/>
      <c r="C22" s="146" t="inlineStr">
        <is>
          <t>Over 5 years x biz %</t>
        </is>
      </c>
    </row>
    <row r="23" ht="24" customHeight="1" s="138">
      <c r="A23" s="150" t="inlineStr">
        <is>
          <t>Section 179 Eligible?</t>
        </is>
      </c>
      <c r="B23" s="150" t="inlineStr">
        <is>
          <t>Discuss with CPA</t>
        </is>
      </c>
      <c r="C23" s="150" t="inlineStr">
        <is>
          <t>Not primary biz use = limited</t>
        </is>
      </c>
    </row>
    <row r="24" ht="24" customHeight="1" s="138">
      <c r="A24" s="155" t="inlineStr">
        <is>
          <t>LOAN INTEREST DEDUCTION</t>
        </is>
      </c>
      <c r="B24" s="143" t="n"/>
      <c r="C24" s="144" t="n"/>
    </row>
    <row r="25" ht="24" customHeight="1" s="138">
      <c r="A25" s="146" t="inlineStr">
        <is>
          <t>Total Interest Paid (2025)</t>
        </is>
      </c>
      <c r="B25" s="173" t="n"/>
      <c r="C25" s="146" t="inlineStr">
        <is>
          <t>From year-end lender statement</t>
        </is>
      </c>
    </row>
    <row r="26" ht="24" customHeight="1" s="138">
      <c r="A26" s="150" t="inlineStr">
        <is>
          <t>Business % of Interest</t>
        </is>
      </c>
      <c r="B26" s="171" t="n"/>
      <c r="C26" s="150" t="inlineStr">
        <is>
          <t>Interest x business use %</t>
        </is>
      </c>
    </row>
    <row r="27" ht="24" customHeight="1" s="138">
      <c r="A27" s="146" t="inlineStr">
        <is>
          <t>Deductible Interest</t>
        </is>
      </c>
      <c r="B27" s="173" t="n"/>
      <c r="C27" s="146" t="inlineStr">
        <is>
          <t>CPA calculates</t>
        </is>
      </c>
    </row>
    <row r="28" ht="24" customHeight="1" s="138">
      <c r="A28" s="161" t="inlineStr">
        <is>
          <t>DOCUMENTS NEEDED</t>
        </is>
      </c>
      <c r="B28" s="143" t="n"/>
      <c r="C28" s="144" t="n"/>
    </row>
    <row r="29" ht="24" customHeight="1" s="138">
      <c r="A29" s="146" t="inlineStr">
        <is>
          <t>Purchase Agreement / Bill of Sale</t>
        </is>
      </c>
      <c r="B29" s="148" t="inlineStr">
        <is>
          <t>HAVE</t>
        </is>
      </c>
      <c r="C29" s="146" t="n"/>
    </row>
    <row r="30" ht="24" customHeight="1" s="138">
      <c r="A30" s="150" t="inlineStr">
        <is>
          <t>Loan / Finance Agreement</t>
        </is>
      </c>
      <c r="B30" s="171" t="n"/>
      <c r="C30" s="150" t="inlineStr">
        <is>
          <t>Get from AutoNation</t>
        </is>
      </c>
    </row>
    <row r="31" ht="24" customHeight="1" s="138">
      <c r="A31" s="146" t="inlineStr">
        <is>
          <t>Mileage Log</t>
        </is>
      </c>
      <c r="B31" s="156" t="n"/>
      <c r="C31" s="146" t="inlineStr">
        <is>
          <t>START TRACKING</t>
        </is>
      </c>
    </row>
    <row r="32" ht="24" customHeight="1" s="138">
      <c r="A32" s="150" t="inlineStr">
        <is>
          <t>Insurance Declaration</t>
        </is>
      </c>
      <c r="B32" s="187" t="n">
        <v>663</v>
      </c>
      <c r="C32" s="150" t="inlineStr">
        <is>
          <t>Upload to Drive</t>
        </is>
      </c>
    </row>
    <row r="33" ht="24" customHeight="1" s="138">
      <c r="A33" s="146" t="inlineStr">
        <is>
          <t>Year-End Loan Interest Statement</t>
        </is>
      </c>
      <c r="B33" s="173" t="n"/>
      <c r="C33" s="146" t="inlineStr">
        <is>
          <t>Request from lender in Jan</t>
        </is>
      </c>
    </row>
  </sheetData>
  <mergeCells count="7">
    <mergeCell ref="A28:C28"/>
    <mergeCell ref="A13:C13"/>
    <mergeCell ref="A19:C19"/>
    <mergeCell ref="A1:C1"/>
    <mergeCell ref="A5:C5"/>
    <mergeCell ref="A24:C24"/>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9C27B0"/>
    <outlinePr summaryBelow="1" summaryRight="1"/>
    <pageSetUpPr fitToPage="0"/>
  </sheetPr>
  <dimension ref="A1:C9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37" min="1" max="1"/>
    <col width="60" customWidth="1" style="137" min="2" max="2"/>
    <col width="40" customWidth="1" style="137" min="3" max="3"/>
  </cols>
  <sheetData>
    <row r="1" ht="31.5" customHeight="1" s="138">
      <c r="A1" s="139" t="inlineStr">
        <is>
          <t>Questions &amp; Notes for CPA</t>
        </is>
      </c>
    </row>
    <row r="2" ht="19.5" customHeight="1" s="138">
      <c r="A2" s="140" t="inlineStr">
        <is>
          <t>Items to discuss during tax prep - update as needed</t>
        </is>
      </c>
    </row>
    <row r="4" ht="15" customHeight="1" s="138">
      <c r="A4" s="141" t="inlineStr">
        <is>
          <t>Topic</t>
        </is>
      </c>
      <c r="B4" s="141" t="inlineStr">
        <is>
          <t>Question / Note</t>
        </is>
      </c>
      <c r="C4" s="141" t="inlineStr">
        <is>
          <t>CPA Response</t>
        </is>
      </c>
    </row>
    <row r="5" ht="39.75" customHeight="1" s="138">
      <c r="A5" s="146" t="inlineStr">
        <is>
          <t>S-Corp Loss</t>
        </is>
      </c>
      <c r="B5" s="146" t="inlineStr">
        <is>
          <t>Net loss of $71,457 - can this offset rental income or W-2? Shareholder basis issues?</t>
        </is>
      </c>
      <c r="C5" s="173" t="n"/>
    </row>
    <row r="6" ht="39.75" customHeight="1" s="138">
      <c r="A6" s="150" t="inlineStr">
        <is>
          <t>Truck Deduction</t>
        </is>
      </c>
      <c r="B6" s="150" t="inlineStr">
        <is>
          <t>Purchased personally, not primary biz use. Best method: mileage vs actual vs depreciation?</t>
        </is>
      </c>
      <c r="C6" s="171" t="n"/>
    </row>
    <row r="7" ht="39.75" customHeight="1" s="138">
      <c r="A7" s="146" t="inlineStr">
        <is>
          <t>Rental LLC - Briarwest</t>
        </is>
      </c>
      <c r="B7" s="146" t="inlineStr">
        <is>
          <t>Is Briarwest already in an LLC? Should we set up LLCs for both rentals?</t>
        </is>
      </c>
      <c r="C7" s="173" t="n"/>
    </row>
    <row r="8" ht="39.75" customHeight="1" s="138">
      <c r="A8" s="150" t="inlineStr">
        <is>
          <t>Rental Depreciation</t>
        </is>
      </c>
      <c r="B8" s="150" t="inlineStr">
        <is>
          <t>Are both properties already depreciating? Need cost basis confirmation.</t>
        </is>
      </c>
      <c r="C8" s="171" t="n"/>
    </row>
    <row r="9" ht="39.75" customHeight="1" s="138">
      <c r="A9" s="146" t="inlineStr">
        <is>
          <t>1099-K Split</t>
        </is>
      </c>
      <c r="B9" s="146" t="inlineStr">
        <is>
          <t>Avail 1099-K is $49,225 combined. How to split between Cypress and Briarwest?</t>
        </is>
      </c>
      <c r="C9" s="173" t="n"/>
    </row>
    <row r="10" ht="39.75" customHeight="1" s="138">
      <c r="A10" s="150" t="inlineStr">
        <is>
          <t>Affiliate 1099 Income</t>
        </is>
      </c>
      <c r="B10" s="150" t="inlineStr">
        <is>
          <t>4 affiliate 1099-NECs - reported on S-Corp return or personal Schedule C?</t>
        </is>
      </c>
      <c r="C10" s="171" t="n"/>
    </row>
    <row r="11" ht="39.75" customHeight="1" s="138">
      <c r="A11" s="146" t="inlineStr">
        <is>
          <t>TX Franchise Tax</t>
        </is>
      </c>
      <c r="B11" s="146" t="inlineStr">
        <is>
          <t>S-Corp revenue $1.2M - above no-tax-due threshold? Need filing?</t>
        </is>
      </c>
      <c r="C11" s="173" t="n"/>
    </row>
    <row r="12" ht="39.75" customHeight="1" s="138">
      <c r="A12" s="150" t="inlineStr">
        <is>
          <t>Estimated Quarterly Taxes</t>
        </is>
      </c>
      <c r="B12" s="150" t="inlineStr">
        <is>
          <t>Should we make estimated payments for 2026?</t>
        </is>
      </c>
      <c r="C12" s="171" t="n"/>
    </row>
    <row r="13" ht="39.75" customHeight="1" s="138">
      <c r="A13" s="146" t="inlineStr">
        <is>
          <t>Payroll vs P&amp;L</t>
        </is>
      </c>
      <c r="B13" s="146" t="inlineStr">
        <is>
          <t>P&amp;L shows $599K wages - reconcile against W-3 and 941 totals.</t>
        </is>
      </c>
      <c r="C13" s="173" t="n"/>
    </row>
    <row r="14" ht="39.75" customHeight="1" s="138">
      <c r="A14" s="150" t="inlineStr">
        <is>
          <t>Owner W-2 Reasonable Comp</t>
        </is>
      </c>
      <c r="B14" s="150" t="inlineStr">
        <is>
          <t>$96K owner salary - defensible for S-Corp reasonable compensation?</t>
        </is>
      </c>
      <c r="C14" s="171" t="n"/>
    </row>
    <row r="15" ht="39.75" customHeight="1" s="138">
      <c r="A15" s="146" t="inlineStr">
        <is>
          <t>Joe W-2 Variance</t>
        </is>
      </c>
      <c r="B15" s="146" t="inlineStr">
        <is>
          <t>W-2 shows $93,060 not $96,000. $2,940 difference - late start or pay adjustment?</t>
        </is>
      </c>
      <c r="C15" s="173" t="n"/>
    </row>
    <row r="16" ht="39.75" customHeight="1" s="138">
      <c r="A16" s="150" t="inlineStr">
        <is>
          <t>Aubrey W-2 Income</t>
        </is>
      </c>
      <c r="B16" s="150" t="inlineStr">
        <is>
          <t>Two W-2s from Airrosti ($11,414 + $55,365 = $66,780). Need on personal return.</t>
        </is>
      </c>
      <c r="C16" s="171" t="n"/>
    </row>
    <row r="17" ht="39.75" customHeight="1" s="138">
      <c r="A17" s="146" t="inlineStr">
        <is>
          <t>Colorado Filing</t>
        </is>
      </c>
      <c r="B17" s="146" t="inlineStr">
        <is>
          <t>Aubrey has CO income ($55,365) with $2,078 CO tax withheld. Need CO state return?</t>
        </is>
      </c>
      <c r="C17" s="173" t="n"/>
    </row>
    <row r="18" ht="39.75" customHeight="1" s="138">
      <c r="A18" s="150" t="inlineStr">
        <is>
          <t>401(k) Contribution</t>
        </is>
      </c>
      <c r="B18" s="150" t="inlineStr">
        <is>
          <t>Joe Box 12 code D: $940 in 401(k). Seems low - is this correct?</t>
        </is>
      </c>
      <c r="C18" s="171" t="n"/>
    </row>
    <row r="19" ht="39.75" customHeight="1" s="138">
      <c r="A19" s="146" t="inlineStr">
        <is>
          <t>1099-K vs Actual Income</t>
        </is>
      </c>
      <c r="B19" s="146" t="inlineStr">
        <is>
          <t>1099-K shows $49,225 but actual Avail payments = $134,295. CPA must report ALL rental income, not just 1099-K amount. Difference of $85,070.</t>
        </is>
      </c>
      <c r="C19" s="173" t="n"/>
    </row>
    <row r="20" ht="39.75" customHeight="1" s="138">
      <c r="A20" s="150" t="inlineStr">
        <is>
          <t>Briarwest Repairs</t>
        </is>
      </c>
      <c r="B20" s="150" t="inlineStr">
        <is>
          <t>No repair log kept for 2025. Any bank/CC transactions for Briarwest repairs? May be able to reconstruct from statements.</t>
        </is>
      </c>
      <c r="C20" s="171" t="n"/>
    </row>
    <row r="21" ht="39.75" customHeight="1" s="138">
      <c r="A21" s="146" t="inlineStr">
        <is>
          <t>Briarwest HOA</t>
        </is>
      </c>
      <c r="B21" s="146" t="inlineStr">
        <is>
          <t>$385/mo ($4,620/yr) paid but no receipts. Can we deduct based on bank statement evidence?</t>
        </is>
      </c>
      <c r="C21" s="173" t="n"/>
    </row>
    <row r="22" ht="39.75" customHeight="1" s="138">
      <c r="A22" s="150" t="inlineStr">
        <is>
          <t>Cypress HOA Ownership</t>
        </is>
      </c>
      <c r="B22" s="150" t="inlineStr">
        <is>
          <t>HOA listed under 'Aubrey Fearn' (maiden name?). Property under Aubrey Mahlow. Confirm ownership alignment.</t>
        </is>
      </c>
      <c r="C22" s="171" t="n"/>
    </row>
    <row r="23" ht="39.75" customHeight="1" s="138">
      <c r="A23" s="146" t="inlineStr">
        <is>
          <t>Rental Property Depreciation</t>
        </is>
      </c>
      <c r="B23" s="146" t="inlineStr">
        <is>
          <t>Both properties need depreciation schedules. Cypress purchased when? Briarwest originated 11/17/2020. Need purchase prices and any prior depreciation.</t>
        </is>
      </c>
      <c r="C23" s="173" t="n"/>
    </row>
    <row r="25" ht="39.75" customHeight="1" s="138">
      <c r="A25" s="174" t="inlineStr">
        <is>
          <t>Coinbase 1099-DA (NEW)</t>
        </is>
      </c>
      <c r="B25" s="174" t="inlineStr">
        <is>
          <t>Form 1099-DA from Coinbase. Short-term gain $131.24, long-term loss -$5,191.79, unknown cost basis $2,812.08. Net known loss: -$5,060.55. Report on Form 8949.</t>
        </is>
      </c>
      <c r="C25" s="174" t="n"/>
    </row>
    <row r="26" ht="39.75" customHeight="1" s="138">
      <c r="A26" s="176" t="inlineStr">
        <is>
          <t>All Employee W-2s</t>
        </is>
      </c>
      <c r="B26" s="176" t="inlineStr">
        <is>
          <t>8 W-2s from Paychex received: Broadstreet, Ceja Gonzalez, De La Rosa, Lemus, Mahlow, Martinez, Navarro, Sanchez. Need W-3 transmittal to reconcile.</t>
        </is>
      </c>
      <c r="C26" s="176" t="n"/>
    </row>
    <row r="27" ht="39.75" customHeight="1" s="138">
      <c r="A27" s="174" t="inlineStr">
        <is>
          <t>Truck Business Use</t>
        </is>
      </c>
      <c r="B27" s="174" t="inlineStr">
        <is>
          <t>Joe estimates 60% business use. No formal mileage log kept in 2025. CPA to advise on deduction method (actual vs mileage) and documentation requirements.</t>
        </is>
      </c>
      <c r="C27" s="174" t="n"/>
    </row>
    <row r="28" ht="39.75" customHeight="1" s="138">
      <c r="A28" s="176" t="inlineStr">
        <is>
          <t>Insurance - Both Rentals</t>
        </is>
      </c>
      <c r="B28" s="176" t="inlineStr">
        <is>
          <t>Both properties insured through SageSure (DP3 Dwelling Fire policies). Cypress: $3,510/yr. Briarwest: $2,679/yr. Both are proper landlord/rental policies, not homeowner policies.</t>
        </is>
      </c>
      <c r="C28" s="176" t="n"/>
    </row>
    <row r="30" ht="39.75" customHeight="1" s="138">
      <c r="A30" s="174" t="inlineStr">
        <is>
          <t>Personal Bank Statements</t>
        </is>
      </c>
      <c r="B30" s="174" t="inlineStr">
        <is>
          <t>Full year Wells Fargo personal checking (138 pages). Shows City of Houston Water Bill monthly (Briarwest utility), Bridgecrest truck payment, Zelle payments for fence repairs. CPA has full personal transaction history.</t>
        </is>
      </c>
      <c r="C30" s="174" t="n"/>
    </row>
    <row r="31" ht="39.75" customHeight="1" s="138">
      <c r="A31" s="176" t="inlineStr">
        <is>
          <t>Briarwest Water Bill</t>
        </is>
      </c>
      <c r="B31" s="176" t="inlineStr">
        <is>
          <t>City of Houston Water Bill paid monthly from personal checking (account 46431018236). 12 payments in 2025 — deductible on Schedule E. Need to extract exact amounts.</t>
        </is>
      </c>
      <c r="C31" s="176" t="n"/>
    </row>
    <row r="32" ht="39.75" customHeight="1" s="138">
      <c r="A32" s="174" t="inlineStr">
        <is>
          <t>Bridgecrest = Truck Lender</t>
        </is>
      </c>
      <c r="B32" s="174" t="inlineStr">
        <is>
          <t>Truck loan is through Bridgecrest (DriveTime). Need annual interest statement for 2025 to claim 60% business use interest deduction.</t>
        </is>
      </c>
      <c r="C32" s="174" t="n"/>
    </row>
    <row r="33" ht="39.75" customHeight="1" s="138">
      <c r="A33" s="176" t="inlineStr">
        <is>
          <t>Possible Briarwest Repairs</t>
        </is>
      </c>
      <c r="B33" s="176" t="inlineStr">
        <is>
          <t>Zelle to 'Tom' for 'Fence' and 'Final Payment for Fence' (Feb-Mar 2025). Zelle to 'Preston' also for fence. If these are Briarwest repairs, they are deductible. Joe to confirm.</t>
        </is>
      </c>
      <c r="C33" s="176" t="n"/>
    </row>
    <row r="34" ht="39.75" customHeight="1" s="138">
      <c r="A34" s="174" t="inlineStr">
        <is>
          <t>Briarwest HOA Source</t>
        </is>
      </c>
      <c r="B34" s="174" t="inlineStr">
        <is>
          <t>The $385/mo Briarwest HOA is NOT paid from Joe's Wells Fargo personal checking. May be from Aubrey's account or another source. Need to identify payment source for CPA documentation.</t>
        </is>
      </c>
      <c r="C34" s="174" t="n"/>
    </row>
    <row r="36" ht="45" customHeight="1" s="138">
      <c r="A36" s="174" t="inlineStr">
        <is>
          <t>CORRECTED: Briarwest HOA</t>
        </is>
      </c>
      <c r="B36" s="174" t="inlineStr">
        <is>
          <t>Briarwest HOA is Autumn Chase TOwnhome Owners at $335/mo ($4,020/yr), NOT $385/mo as originally stated. Screenshot proof of OwnerDraft payment provided.</t>
        </is>
      </c>
      <c r="C36" s="174" t="n"/>
    </row>
    <row r="37" ht="45" customHeight="1" s="138">
      <c r="A37" s="176" t="inlineStr">
        <is>
          <t>Cypress Lawn Care (Jose)</t>
        </is>
      </c>
      <c r="B37" s="176" t="inlineStr">
        <is>
          <t>23 Zelle payments to Jose (lawn guy) totaling $4,645. Regular lawn payments: $1,045 (21 payments, $35-$100 each). TWO LARGE Feb payments: $1,700 + $1,900 = $3,600 — VERIFY these are lawn care and not something else. Deductible on Schedule E.</t>
        </is>
      </c>
      <c r="C37" s="176" t="n"/>
    </row>
    <row r="38" ht="45" customHeight="1" s="138">
      <c r="A38" s="174" t="inlineStr">
        <is>
          <t>NEW HOME PURCHASED 2025</t>
        </is>
      </c>
      <c r="B38" s="174" t="inlineStr">
        <is>
          <t>Joe and Aubrey bought a new primary home in 2025 (724 Apex Rise St, Erie CO 80516). Fence expense (Zelle to Tom) was for this new home, NOT rental. CPA: need purchase closing docs for Schedule A and potential points deduction. When was Erie home purchased? Was Cypress home the previous primary residence?</t>
        </is>
      </c>
      <c r="C38" s="174" t="n"/>
    </row>
    <row r="39" ht="45" customHeight="1" s="138">
      <c r="A39" s="176" t="inlineStr">
        <is>
          <t>Primary Residence Conversion?</t>
        </is>
      </c>
      <c r="B39" s="176" t="inlineStr">
        <is>
          <t>If Cypress (Oak Park Bend) was Joe's primary home before moving to Erie CO in 2025, the date of conversion from primary to rental matters for depreciation basis. CPA needs: (1) date of move, (2) FMV at conversion date, (3) original purchase price of Cypress.</t>
        </is>
      </c>
      <c r="C39" s="176" t="n"/>
    </row>
    <row r="41" ht="27.75" customHeight="1" s="138">
      <c r="A41" s="205" t="inlineStr">
        <is>
          <t>CRITICAL: PRIMARY RESIDENCE → RENTAL CONVERSION</t>
        </is>
      </c>
      <c r="B41" s="143" t="n"/>
      <c r="C41" s="144" t="n"/>
    </row>
    <row r="42" ht="49.5" customHeight="1" s="138">
      <c r="A42" s="156" t="inlineStr">
        <is>
          <t>Conversion Date: 03/01/2025</t>
        </is>
      </c>
      <c r="B42" s="174" t="inlineStr">
        <is>
          <t>Cypress (17914 Oak Park Bend Ln) converted from primary residence to rental property on March 1, 2025. Joe and Aubrey moved to 724 Apex Rise St, Erie CO 80516.</t>
        </is>
      </c>
      <c r="C42" s="174" t="n"/>
    </row>
    <row r="43" ht="49.5" customHeight="1" s="138">
      <c r="A43" s="158" t="inlineStr">
        <is>
          <t>Depreciation Basis</t>
        </is>
      </c>
      <c r="B43" s="176" t="inlineStr">
        <is>
          <t>CPA needs: (1) Original purchase price of Cypress home (purchased ~2019 per 1098), (2) FMV on 03/01/2025 conversion date (appraisal or CMA). Depreciation basis = LOWER of adjusted cost basis or FMV at conversion. 27.5 year residential schedule starts 03/01/2025.</t>
        </is>
      </c>
      <c r="C43" s="176" t="n"/>
    </row>
    <row r="44" ht="49.5" customHeight="1" s="138">
      <c r="A44" s="156" t="inlineStr">
        <is>
          <t>Prorated Expenses</t>
        </is>
      </c>
      <c r="B44" s="174" t="inlineStr">
        <is>
          <t>Mortgage interest and property tax must be prorated: Jan-Feb 2025 = personal (Schedule A itemized deduction), Mar-Dec 2025 = rental (Schedule E). That's 10/12 on Schedule E, 2/12 on Schedule A.</t>
        </is>
      </c>
      <c r="C44" s="174" t="n"/>
    </row>
    <row r="45" ht="49.5" customHeight="1" s="138">
      <c r="A45" s="158" t="inlineStr">
        <is>
          <t>Landscaping $3,600 (Feb 2025)</t>
        </is>
      </c>
      <c r="B45" s="176" t="inlineStr">
        <is>
          <t>The $3,600 in landscaping (Feb) was specifically to prepare Cypress for rental market. This is likely deductible as a rental start-up expense or added to basis, even though it occurred before the March conversion date. CPA to determine treatment.</t>
        </is>
      </c>
      <c r="C45" s="176" t="n"/>
    </row>
    <row r="46" ht="49.5" customHeight="1" s="138">
      <c r="A46" s="156" t="inlineStr">
        <is>
          <t>Pool Maintenance $180/mo</t>
        </is>
      </c>
      <c r="B46" s="174" t="inlineStr">
        <is>
          <t>$180/mo pool maintenance for Cypress from joint checking. Mar-Dec 2025 = 10 months = $1,800 deductible on Schedule E. Jan-Feb = personal, not deductible.</t>
        </is>
      </c>
      <c r="C46" s="174" t="n"/>
    </row>
    <row r="47" ht="49.5" customHeight="1" s="138">
      <c r="A47" s="158" t="inlineStr">
        <is>
          <t>Insurance Timing</t>
        </is>
      </c>
      <c r="B47" s="176" t="inlineStr">
        <is>
          <t>SageSure landlord policy (DP3) started June 2025. Was there a homeowner policy Jan-May? The landlord portion (June-Dec = 7 months) is deductible on Sch E. Need to confirm what coverage existed Jan-May.</t>
        </is>
      </c>
      <c r="C47" s="176" t="n"/>
    </row>
    <row r="48" ht="49.5" customHeight="1" s="138">
      <c r="A48" s="156" t="inlineStr">
        <is>
          <t>Cypress Purchase Details NEEDED</t>
        </is>
      </c>
      <c r="B48" s="174" t="inlineStr">
        <is>
          <t>CPA NEEDS: original purchase price, purchase date (1098 shows origination 08/06/2019), any improvements made before conversion, closing costs from original purchase. These determine the depreciation basis.</t>
        </is>
      </c>
      <c r="C48" s="174" t="n"/>
    </row>
    <row r="50" ht="27.75" customHeight="1" s="138">
      <c r="A50" s="155" t="inlineStr">
        <is>
          <t>ERIE HOME PURCHASE — TAX IMPLICATIONS</t>
        </is>
      </c>
      <c r="B50" s="143" t="n"/>
      <c r="C50" s="144" t="n"/>
    </row>
    <row r="51" ht="49.5" customHeight="1" s="138">
      <c r="A51" s="156" t="inlineStr">
        <is>
          <t>POINTS: $16,944.60</t>
        </is>
      </c>
      <c r="B51" s="174" t="inlineStr">
        <is>
          <t>Loan Discount Fee of 2.492% paid to HomeAmerican Mortgage at closing. For primary residence purchase, points are generally deductible in the year paid on Schedule A. This is a MAJOR deduction. CPA to confirm full deductibility since Eileen McGrath Mahlow is co-borrower.</t>
        </is>
      </c>
      <c r="C51" s="174" t="n"/>
    </row>
    <row r="52" ht="49.5" customHeight="1" s="138">
      <c r="A52" s="176" t="inlineStr">
        <is>
          <t>Prepaid Interest: $237.52</t>
        </is>
      </c>
      <c r="B52" s="176" t="inlineStr">
        <is>
          <t>2 days prepaid interest (1/30-2/1/2025). Deductible on Schedule A as mortgage interest for the year.</t>
        </is>
      </c>
      <c r="C52" s="176" t="n"/>
    </row>
    <row r="53" ht="49.5" customHeight="1" s="138">
      <c r="A53" s="174" t="inlineStr">
        <is>
          <t>Timeline Clarification</t>
        </is>
      </c>
      <c r="B53" s="174" t="inlineStr">
        <is>
          <t>Erie closed 01/30/2025. Cypress converted to rental 03/01/2025. So Jan 30 - Feb 28 = overlap period where they owned both homes. CPA: Cypress mortgage interest for Jan-Feb goes on Schedule A (personal). Erie mortgage interest starts 01/30/2025.</t>
        </is>
      </c>
      <c r="C53" s="174" t="n"/>
    </row>
    <row r="54" ht="49.5" customHeight="1" s="138">
      <c r="A54" s="176" t="inlineStr">
        <is>
          <t>Eileen McGrath Mahlow</t>
        </is>
      </c>
      <c r="B54" s="176" t="inlineStr">
        <is>
          <t>Co-borrower on Erie home. Appears to be Joe's mother (based on 'Eileen M Mahlow' Zelle payments in bank statements). CPA needs to determine how to split mortgage interest deduction if Eileen is also claiming.</t>
        </is>
      </c>
      <c r="C54" s="176" t="n"/>
    </row>
    <row r="55" ht="49.5" customHeight="1" s="138">
      <c r="A55" s="174" t="inlineStr">
        <is>
          <t>Erie HOA: Colliers Hill</t>
        </is>
      </c>
      <c r="B55" s="174" t="inlineStr">
        <is>
          <t>$96/mo = $1,056/yr to Colliers Hill Master Association. NOT escrowed. Personal expense (Schedule A doesn't allow HOA deduction). But confirms the home is in an HOA community.</t>
        </is>
      </c>
      <c r="C55" s="174" t="n"/>
    </row>
    <row r="56" ht="49.5" customHeight="1" s="138">
      <c r="A56" s="176" t="inlineStr">
        <is>
          <t>Cypress NOT Sold</t>
        </is>
      </c>
      <c r="B56" s="176" t="inlineStr">
        <is>
          <t>Joe confirmed Cypress was NOT sold — it was converted to rental at $3,200/mo starting 03/01/2025. No capital gains event. Depreciation basis needed: FMV on 03/01/2025 vs original purchase price (whichever is lower).</t>
        </is>
      </c>
      <c r="C56" s="176" t="n"/>
    </row>
    <row r="57" ht="49.5" customHeight="1" s="138">
      <c r="A57" s="174" t="inlineStr">
        <is>
          <t>Balance Sheet Received</t>
        </is>
      </c>
      <c r="B57" s="174" t="inlineStr">
        <is>
          <t>ASAP Credit Repair balance sheet as of 03/03/2026 provided. Total assets $771K, liabilities $26K, equity $745K. CPA has complete financial picture with P&amp;L + Balance Sheet.</t>
        </is>
      </c>
      <c r="C57" s="174" t="n"/>
    </row>
    <row r="59" ht="27.75" customHeight="1" s="138">
      <c r="A59" s="205" t="inlineStr">
        <is>
          <t>CYPRESS DEPRECIATION BASIS — CRITICAL FOR 27.5 YEARS OF DEDUCTIONS</t>
        </is>
      </c>
      <c r="B59" s="143" t="n"/>
      <c r="C59" s="144" t="n"/>
    </row>
    <row r="60" ht="49.5" customHeight="1" s="138">
      <c r="A60" s="206" t="inlineStr">
        <is>
          <t>✅ Original Purchase: $247,500 CONFIRMED</t>
        </is>
      </c>
      <c r="B60" s="183" t="inlineStr">
        <is>
          <t>Confirmed from Borrower's Statement (Fidelity National Title, FAH19006372). Settlement 08/06/2019. Loan: $235,125. Adjusted basis for depreciation: $247,500 + any capital improvements before/during ownership, minus land value. CPA: use lower of cost basis or FMV on 03/01/2025 conversion date.</t>
        </is>
      </c>
      <c r="C60" s="174" t="n"/>
    </row>
    <row r="61" ht="49.5" customHeight="1" s="138">
      <c r="A61" s="176" t="inlineStr">
        <is>
          <t>Conversion Date: 03/01/2025</t>
        </is>
      </c>
      <c r="B61" s="176" t="inlineStr">
        <is>
          <t>Primary residence converted to rental on March 1, 2025. Rented at $3,200/mo. Depreciation clock starts this date.</t>
        </is>
      </c>
      <c r="C61" s="176" t="n"/>
    </row>
    <row r="62" ht="49.5" customHeight="1" s="138">
      <c r="A62" s="174" t="inlineStr">
        <is>
          <t>Depreciation Basis Calculation</t>
        </is>
      </c>
      <c r="B62" s="174" t="inlineStr">
        <is>
          <t>Basis = LOWER of: (a) Adjusted cost basis ($240K + improvements - land value), or (b) FMV on 03/01/2025. Land must be excluded (typically 15-20% for TX). CPA to determine land allocation using county appraisal district records.</t>
        </is>
      </c>
      <c r="C62" s="174" t="n"/>
    </row>
    <row r="63" ht="49.5" customHeight="1" s="138">
      <c r="A63" s="176" t="inlineStr">
        <is>
          <t>Example Depreciation (CPA to verify)</t>
        </is>
      </c>
      <c r="B63" s="176" t="inlineStr">
        <is>
          <t>If basis = $200K (after land exclusion): $200K / 27.5 years = $7,272/yr. For 2025 (10 months): ~$6,060. This is a non-cash deduction that reduces taxable rental income every year for 27.5 years.</t>
        </is>
      </c>
      <c r="C63" s="176" t="n"/>
    </row>
    <row r="64" ht="49.5" customHeight="1" s="138">
      <c r="A64" s="206" t="inlineStr">
        <is>
          <t>✅ CYPRESS PURCHASE DOCS CONFIRMED</t>
        </is>
      </c>
      <c r="B64" s="183" t="inlineStr">
        <is>
          <t>Borrower Statement from Fidelity National Title Agency confirmed. Settlement Date: 08/06/2019. Purchase Price: $247,500. Loan: $235,125 (TDECU). Borrower: Aubrey Fearn. Seller: Nathan Dyer. Balance due from borrower: $9,836.78. This is Joe &amp; Aubrey's actual 2019 Cypress purchase — NOT a refinance.</t>
        </is>
      </c>
      <c r="C64" s="174" t="n"/>
    </row>
    <row r="65" ht="49.5" customHeight="1" s="138">
      <c r="A65" s="176" t="inlineStr">
        <is>
          <t>Improvements Before Conversion</t>
        </is>
      </c>
      <c r="B65" s="176" t="inlineStr">
        <is>
          <t>Joe did $3,600 in landscaping (Feb 2025) to prepare for rental. CPA: should this be added to basis or expensed? Also need to confirm if any other capital improvements were made during 2019-2025 ownership.</t>
        </is>
      </c>
      <c r="C65" s="176" t="n"/>
    </row>
    <row r="67" ht="49.5" customHeight="1" s="138">
      <c r="A67" s="174" t="inlineStr">
        <is>
          <t>Truck Insurance: Progressive</t>
        </is>
      </c>
      <c r="B67" s="174" t="inlineStr">
        <is>
          <t>Auto policy #998266152 covers 2022 GMC Sierra C2500/K2500 (VIN: 1GT19PEY6NF221124) premium $663/yr + 2020 Toyota 4Runner $410/yr. Total policy $1,297. At 60% business use, $397.80 of Sierra premium is deductible as business expense.</t>
        </is>
      </c>
      <c r="C67" s="174" t="n"/>
    </row>
    <row r="68" ht="49.5" customHeight="1" s="138">
      <c r="A68" s="176" t="inlineStr">
        <is>
          <t>1099-NEC: John D Mahlow</t>
        </is>
      </c>
      <c r="B68" s="176" t="inlineStr">
        <is>
          <t>ONLY contractor for 2025. Paid $96,000 in nonemployee compensation. Address: 5211 Brookglen Dr, Houston TX 77017. This is John Mahlow (Joe's father/relative — Zelle payments show 'John Mahlow' with 'Loan' memo). CPA: verify if the $96K is for services rendered to ASAP Credit Repair.</t>
        </is>
      </c>
      <c r="C68" s="176" t="n"/>
    </row>
    <row r="69" ht="49.5" customHeight="1" s="138">
      <c r="A69" s="174" t="inlineStr">
        <is>
          <t>Bridgecrest Interest Statement</t>
        </is>
      </c>
      <c r="B69" s="174" t="inlineStr">
        <is>
          <t>Bridgecrest portal does not offer annual interest statements online. OPTIONS: (1) Call Bridgecrest at 1-800-967-9872 and request 2025 year-end interest statement mailed or emailed, (2) Look for Form 1098 from Bridgecrest (lenders report mortgage interest, but auto lenders sometimes don't send 1098s), (3) Calculate from bank statement — one payment visible in Dec bank statement. Monthly payment amount x 12, then CPA can estimate interest portion.</t>
        </is>
      </c>
      <c r="C69" s="174" t="n"/>
    </row>
    <row r="70" ht="45" customHeight="1" s="138">
      <c r="A70" s="174" t="inlineStr">
        <is>
          <t>Bridgecrest Interest Estimate</t>
        </is>
      </c>
      <c r="B70" s="174" t="inlineStr">
        <is>
          <t>Bank statement shows $630/mo payment. Loan: $38,162 financed at 6.99%. Estimated 2025 interest: ~$1,752. At 60% business use = ~$1,051 deductible. CPA should verify with actual statement if obtainable.</t>
        </is>
      </c>
      <c r="C70" s="174" t="n"/>
    </row>
    <row r="72" ht="27.75" customHeight="1" s="138">
      <c r="A72" s="157" t="inlineStr">
        <is>
          <t>AFFILIATE INCOME STRUCTURE — CPA MUST REVIEW</t>
        </is>
      </c>
      <c r="B72" s="143" t="n"/>
      <c r="C72" s="144" t="n"/>
    </row>
    <row r="73" ht="54.75" customHeight="1" s="138">
      <c r="A73" s="174" t="inlineStr">
        <is>
          <t>Identity Command LLC</t>
        </is>
      </c>
      <c r="B73" s="174" t="inlineStr">
        <is>
          <t>Separate entity (DBA or LLC?) receiving affiliate income. Gets payments from Proxi Independent Group ($6,311 1099-NEC) and Awin Inc ($43.09). Pays Joe $7,800 via Zelle. CPA: Is this a separate entity filing its own return? Or a DBA of ASAP? Or personal Schedule C?</t>
        </is>
      </c>
      <c r="C73" s="174" t="n"/>
    </row>
    <row r="74" ht="54.75" customHeight="1" s="138">
      <c r="A74" s="176" t="inlineStr">
        <is>
          <t>IDIQ Commissions Flow</t>
        </is>
      </c>
      <c r="B74" s="176" t="inlineStr">
        <is>
          <t>IDIQ (IdentityIQ) affiliate commissions appear to flow through ASAP Credit Repair business checking, then transferred to Joe as owner draws ($18K in Jul-Sep labeled 'IDIQ Money/Commission'). These are S-Corp revenue, NOT separate personal income.</t>
        </is>
      </c>
      <c r="C74" s="176" t="n"/>
    </row>
    <row r="75" ht="54.75" customHeight="1" s="138">
      <c r="A75" s="174" t="inlineStr">
        <is>
          <t>CB Card + RateSpecial</t>
        </is>
      </c>
      <c r="B75" s="174" t="inlineStr">
        <is>
          <t>CB Card LLC ($885) and RateSpecial Interactive ($4,808) paid directly to Joe's personal checking. Total $5,693. CPA: Are these personal Schedule C income or should they be reported on the S-Corp? No 1099s received (both under $600 reporting threshold per payment).</t>
        </is>
      </c>
      <c r="C75" s="174" t="n"/>
    </row>
    <row r="76" ht="54.75" customHeight="1" s="138">
      <c r="A76" s="176" t="inlineStr">
        <is>
          <t>Aubrey 1098-E: $3,670.20</t>
        </is>
      </c>
      <c r="B76" s="176" t="inlineStr">
        <is>
          <t>Student loan interest deduction on Schedule 1. Borrower name shows AUBREY L FEARN (maiden name) at Cypress address. Deduction phases out at higher AGI — CPA to verify eligibility given combined household income.</t>
        </is>
      </c>
      <c r="C76" s="176" t="n"/>
    </row>
    <row r="77" ht="54.75" customHeight="1" s="138">
      <c r="A77" s="174" t="inlineStr">
        <is>
          <t>Aubrey 1099-NEC: $1,500</t>
        </is>
      </c>
      <c r="B77" s="174" t="inlineStr">
        <is>
          <t>From Elevated Chiropractic LLC (Broomfield CO). This is Aubrey's self-employment income — needs Schedule C and SE tax. CO state income reported ($1,500). This is separate from her W-2 income.</t>
        </is>
      </c>
      <c r="C77" s="174" t="n"/>
    </row>
    <row r="78" ht="54.75" customHeight="1" s="138">
      <c r="A78" s="176" t="inlineStr">
        <is>
          <t>Erie 1098 — Interest is $0</t>
        </is>
      </c>
      <c r="B78" s="176" t="inlineStr">
        <is>
          <t>HomeAmerican Mortgage 1098 shows $0 interest because loan was immediately transferred. The $35,905.92 interest on the PHH Mortgage 1098 (already received) is likely the Erie home interest reported by the new servicer. CPA to confirm PHH = Erie home.</t>
        </is>
      </c>
      <c r="C78" s="176" t="n"/>
    </row>
    <row r="80" ht="49.5" customHeight="1" s="138">
      <c r="A80" s="174" t="inlineStr">
        <is>
          <t>CORRECTION: CB Card = Credit Card Broker</t>
        </is>
      </c>
      <c r="B80" s="174" t="inlineStr">
        <is>
          <t>CB Card LLC Bill.com payments ($885 total) are the Credit Card Broker affiliate income. Transaction format: 'CB Card LLC Bill.com [ID] CB Card LLC Bill.com [ID] Multip'. This resolves the 'missing' Credit Card Broker 1099.</t>
        </is>
      </c>
      <c r="C80" s="174" t="n"/>
    </row>
    <row r="81" ht="49.5" customHeight="1" s="138">
      <c r="A81" s="176" t="inlineStr">
        <is>
          <t>Identity Command LLC — EXCLUDE</t>
        </is>
      </c>
      <c r="B81" s="176" t="inlineStr">
        <is>
          <t>Identity Command is a SEPARATE LLC with its own tax return. Proxi 1099-NEC ($6,311) and Awin ($43.09) go on Identity Command's return, NOT Joe's personal or ASAP. The $7,800 Zelle from Identity Command to Joe = owner draw from that LLC.</t>
        </is>
      </c>
      <c r="C81" s="176" t="n"/>
    </row>
    <row r="82" ht="49.5" customHeight="1" s="138">
      <c r="A82" s="174" t="inlineStr">
        <is>
          <t>IDIQ Revenue — S-Corp Level</t>
        </is>
      </c>
      <c r="B82" s="174" t="inlineStr">
        <is>
          <t>IdentityIQ affiliate commissions are $6,000+/month (~$72K+ annually) hitting ASAP business checking. This is S-Corp revenue already captured in the $1.2M P&amp;L revenue. The $18K in 'IDIQ' transfers to personal were just owner distributions, not the total IDIQ income.</t>
        </is>
      </c>
      <c r="C82" s="174" t="n"/>
    </row>
    <row r="83" ht="15" customHeight="1" s="138">
      <c r="A83" s="137" t="inlineStr">
        <is>
          <t>Cypress Mortgage Interest Proration</t>
        </is>
      </c>
      <c r="B83" s="137" t="inlineStr">
        <is>
          <t>2/12 personal (Jan-Feb, while primary residence) → Schedule A. 10/12 rental (Mar-Dec) → Schedule E. Total 1098: $7,525.96. Personal portion: $1,254.33. Rental portion: $6,271.63.</t>
        </is>
      </c>
    </row>
    <row r="84" ht="15" customHeight="1" s="138">
      <c r="A84" s="137" t="inlineStr">
        <is>
          <t>Cypress Property Tax Proration</t>
        </is>
      </c>
      <c r="B84" s="137" t="inlineStr">
        <is>
          <t>Same 2/12 / 10/12 split as mortgage interest. Total 1098 Box 10: $4,416.16. Personal: $736.03. Rental: $3,680.13.</t>
        </is>
      </c>
    </row>
    <row r="85" ht="15" customHeight="1" s="138">
      <c r="A85" s="137" t="inlineStr">
        <is>
          <t>Erie Points: $16,944.60</t>
        </is>
      </c>
      <c r="B85" s="137" t="inlineStr">
        <is>
          <t>Confirmed on HomeAmerican 1098. Deductible on Schedule A as home acquisition points (2.492% of $679,960). Eileen McGrath Mahlow is co-borrower — CPA must confirm how to allocate if Eileen also claims. Prepaid interest at closing: $237.52 (also deductible).</t>
        </is>
      </c>
    </row>
    <row r="86" ht="15" customHeight="1" s="138">
      <c r="A86" s="137" t="inlineStr">
        <is>
          <t>Cypress Pool Maintenance 2025</t>
        </is>
      </c>
      <c r="B86" s="137" t="inlineStr">
        <is>
          <t>$180/mo x 10 months (Mar-Dec) = $1,800. Paid from joint checking via Living Fresh Water. Screenshot confirmed. Fully deductible on Schedule E.</t>
        </is>
      </c>
    </row>
    <row r="87" ht="15" customHeight="1" s="138">
      <c r="A87" s="137" t="inlineStr">
        <is>
          <t>Cypress Landscaping — Pre-Rental Prep</t>
        </is>
      </c>
      <c r="B87" s="137" t="inlineStr">
        <is>
          <t>$3,600 paid in Feb 2025 ($1,700 + $1,900) to prepare for rental. This was BEFORE the 03/01/2025 rental start date. CPA: treat as rental start-up expense (deductible) or add to depreciable basis? Lean toward deductible expense under Reg. §1.162-1.</t>
        </is>
      </c>
    </row>
    <row r="88" ht="15" customHeight="1" s="138">
      <c r="A88" s="137" t="inlineStr">
        <is>
          <t>Briarwest Insurance Reconciliation</t>
        </is>
      </c>
      <c r="B88" s="137" t="inlineStr">
        <is>
          <t>Two figures: (1) 1098 escrow shows $5,384/yr. (2) SageSure DP3 policy = $2,679/yr. Possible explanations: escrow figure includes flood insurance or prior policy, OR mid-year policy change. CPA must determine which amount is the correct deductible expense for 2025. We currently show $5,384 in the spreadsheet pending CPA review.</t>
        </is>
      </c>
    </row>
    <row r="89" ht="15" customHeight="1" s="138">
      <c r="A89" s="137" t="inlineStr">
        <is>
          <t>Crypto — Form 8949 Required</t>
        </is>
      </c>
      <c r="B89" s="137" t="inlineStr">
        <is>
          <t>Coinbase 1099-DA: ST gain $131.24, LT loss -$5,191.79. Additional $2,812.08 in proceeds with unknown cost basis — Coinbase shows "unknown." CPA must research original acquisition dates/prices (Coinbase may provide transaction history). Net known: -$5,060.55. Report all on Form 8949.</t>
        </is>
      </c>
    </row>
    <row r="90" ht="15" customHeight="1" s="138">
      <c r="A90" s="137" t="inlineStr">
        <is>
          <t>Aubrey Self-Employment — Elevated Chiropractic</t>
        </is>
      </c>
      <c r="B90" s="137" t="inlineStr">
        <is>
          <t>$1,500 1099-NEC from Elevated Chiropractic LLC (Broomfield CO). Needs Schedule C + Schedule SE (self-employment tax ≈ $212). Also Colorado state income — confirm if CO filing threshold met.</t>
        </is>
      </c>
    </row>
    <row r="91" ht="15" customHeight="1" s="138">
      <c r="A91" s="137" t="inlineStr">
        <is>
          <t>HOA Corrected — Briarwest</t>
        </is>
      </c>
      <c r="B91" s="137" t="inlineStr">
        <is>
          <t>Autumn Chase HOA confirmed $335/mo = $4,020/yr. Prior notes showed $385/mo ($4,620/yr) — that was incorrect. Use $4,020 for Schedule E.</t>
        </is>
      </c>
    </row>
  </sheetData>
  <mergeCells count="6">
    <mergeCell ref="A41:C41"/>
    <mergeCell ref="A1:C1"/>
    <mergeCell ref="A50:C50"/>
    <mergeCell ref="A59:C59"/>
    <mergeCell ref="A2:C2"/>
    <mergeCell ref="A72:C7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00BCD4"/>
    <outlinePr summaryBelow="1" summaryRight="1"/>
    <pageSetUpPr fitToPage="0"/>
  </sheetPr>
  <dimension ref="A1:C6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8" customWidth="1" style="137" min="1" max="1"/>
    <col width="38" customWidth="1" style="137" min="2" max="2"/>
    <col width="18" customWidth="1" style="137" min="3" max="3"/>
  </cols>
  <sheetData>
    <row r="1" ht="31.5" customHeight="1" s="138">
      <c r="A1" s="139" t="inlineStr">
        <is>
          <t>Google Drive Folder Structure</t>
        </is>
      </c>
    </row>
    <row r="2" ht="19.5" customHeight="1" s="138">
      <c r="A2" s="140" t="inlineStr">
        <is>
          <t>Create these folders in Google Drive | Upload docs to matching folders | Paste share links into Checklist tab Column H</t>
        </is>
      </c>
    </row>
    <row r="4" ht="26.25" customHeight="1" s="138">
      <c r="A4" s="141" t="inlineStr">
        <is>
          <t>Folder Path</t>
        </is>
      </c>
      <c r="B4" s="141" t="inlineStr">
        <is>
          <t>What Goes Here</t>
        </is>
      </c>
      <c r="C4" s="141" t="inlineStr">
        <is>
          <t>Checklist Category</t>
        </is>
      </c>
    </row>
    <row r="5" ht="21.75" customHeight="1" s="138">
      <c r="A5" s="207" t="inlineStr">
        <is>
          <t>Taxes / 2025 /</t>
        </is>
      </c>
      <c r="B5" s="146" t="inlineStr">
        <is>
          <t>TOP LEVEL</t>
        </is>
      </c>
      <c r="C5" s="146" t="n"/>
    </row>
    <row r="6" ht="21.75" customHeight="1" s="138">
      <c r="A6" s="208" t="inlineStr">
        <is>
          <t xml:space="preserve">  01_Personal /</t>
        </is>
      </c>
      <c r="B6" s="150" t="n"/>
      <c r="C6" s="150" t="n"/>
    </row>
    <row r="7" ht="21.75" customHeight="1" s="138">
      <c r="A7" s="146" t="inlineStr">
        <is>
          <t xml:space="preserve">    Primary_Home_1098.pdf</t>
        </is>
      </c>
      <c r="B7" s="146" t="inlineStr">
        <is>
          <t>Mortgage interest statement</t>
        </is>
      </c>
      <c r="C7" s="146" t="inlineStr">
        <is>
          <t>Personal</t>
        </is>
      </c>
    </row>
    <row r="8" ht="21.75" customHeight="1" s="138">
      <c r="A8" s="150" t="inlineStr">
        <is>
          <t xml:space="preserve">    Primary_Home_PropertyTax.pdf</t>
        </is>
      </c>
      <c r="B8" s="150" t="inlineStr">
        <is>
          <t>Property tax statement</t>
        </is>
      </c>
      <c r="C8" s="150" t="inlineStr">
        <is>
          <t>Personal</t>
        </is>
      </c>
    </row>
    <row r="9" ht="21.75" customHeight="1" s="138">
      <c r="A9" s="146" t="inlineStr">
        <is>
          <t xml:space="preserve">    Primary_Home_Insurance.pdf</t>
        </is>
      </c>
      <c r="B9" s="146" t="inlineStr">
        <is>
          <t>Homeowners insurance</t>
        </is>
      </c>
      <c r="C9" s="146" t="inlineStr">
        <is>
          <t>Personal</t>
        </is>
      </c>
    </row>
    <row r="10" ht="21.75" customHeight="1" s="138">
      <c r="A10" s="150" t="inlineStr">
        <is>
          <t xml:space="preserve">    Aubrey_1098E.pdf</t>
        </is>
      </c>
      <c r="B10" s="150" t="inlineStr">
        <is>
          <t>Student loan interest</t>
        </is>
      </c>
      <c r="C10" s="150" t="inlineStr">
        <is>
          <t>Personal</t>
        </is>
      </c>
    </row>
    <row r="11" ht="21.75" customHeight="1" s="138">
      <c r="A11" s="146" t="inlineStr">
        <is>
          <t xml:space="preserve">    Joe_W2.pdf</t>
        </is>
      </c>
      <c r="B11" s="146" t="inlineStr">
        <is>
          <t>W-2 from ASAP</t>
        </is>
      </c>
      <c r="C11" s="146" t="inlineStr">
        <is>
          <t>Personal</t>
        </is>
      </c>
    </row>
    <row r="12" ht="21.75" customHeight="1" s="138">
      <c r="A12" s="208" t="inlineStr">
        <is>
          <t xml:space="preserve">  02_ASAP_Credit_Repair /</t>
        </is>
      </c>
      <c r="B12" s="150" t="n"/>
      <c r="C12" s="150" t="n"/>
    </row>
    <row r="13" ht="21.75" customHeight="1" s="138">
      <c r="A13" s="207" t="inlineStr">
        <is>
          <t xml:space="preserve">    Financials /</t>
        </is>
      </c>
      <c r="B13" s="146" t="n"/>
      <c r="C13" s="146" t="n"/>
    </row>
    <row r="14" ht="21.75" customHeight="1" s="138">
      <c r="A14" s="150" t="inlineStr">
        <is>
          <t xml:space="preserve">      ASAP_PnL.pdf</t>
        </is>
      </c>
      <c r="B14" s="150" t="inlineStr">
        <is>
          <t>Profit &amp; Loss</t>
        </is>
      </c>
      <c r="C14" s="150" t="inlineStr">
        <is>
          <t>Business</t>
        </is>
      </c>
    </row>
    <row r="15" ht="21.75" customHeight="1" s="138">
      <c r="A15" s="146" t="inlineStr">
        <is>
          <t xml:space="preserve">      ASAP_BalanceSheet.pdf</t>
        </is>
      </c>
      <c r="B15" s="146" t="inlineStr">
        <is>
          <t>Balance Sheet</t>
        </is>
      </c>
      <c r="C15" s="146" t="inlineStr">
        <is>
          <t>Business</t>
        </is>
      </c>
    </row>
    <row r="16" ht="21.75" customHeight="1" s="138">
      <c r="A16" s="150" t="inlineStr">
        <is>
          <t xml:space="preserve">      ASAP_BankStatements.pdf</t>
        </is>
      </c>
      <c r="B16" s="150" t="inlineStr">
        <is>
          <t>Bank statements</t>
        </is>
      </c>
      <c r="C16" s="150" t="inlineStr">
        <is>
          <t>Business</t>
        </is>
      </c>
    </row>
    <row r="17" ht="21.75" customHeight="1" s="138">
      <c r="A17" s="207" t="inlineStr">
        <is>
          <t xml:space="preserve">    Payroll /</t>
        </is>
      </c>
      <c r="B17" s="146" t="n"/>
      <c r="C17" s="146" t="n"/>
    </row>
    <row r="18" ht="21.75" customHeight="1" s="138">
      <c r="A18" s="150" t="inlineStr">
        <is>
          <t xml:space="preserve">      W2_AllEmployees.pdf</t>
        </is>
      </c>
      <c r="B18" s="150" t="inlineStr">
        <is>
          <t>All W-2 forms</t>
        </is>
      </c>
      <c r="C18" s="150" t="inlineStr">
        <is>
          <t>Payroll</t>
        </is>
      </c>
    </row>
    <row r="19" ht="21.75" customHeight="1" s="138">
      <c r="A19" s="146" t="inlineStr">
        <is>
          <t xml:space="preserve">      W3.pdf</t>
        </is>
      </c>
      <c r="B19" s="146" t="inlineStr">
        <is>
          <t>W-3 transmittal</t>
        </is>
      </c>
      <c r="C19" s="146" t="inlineStr">
        <is>
          <t>Payroll</t>
        </is>
      </c>
    </row>
    <row r="20" ht="21.75" customHeight="1" s="138">
      <c r="A20" s="150" t="inlineStr">
        <is>
          <t xml:space="preserve">      941_Q1-Q4.pdf</t>
        </is>
      </c>
      <c r="B20" s="150" t="inlineStr">
        <is>
          <t>Quarterly 941 forms</t>
        </is>
      </c>
      <c r="C20" s="150" t="inlineStr">
        <is>
          <t>Payroll</t>
        </is>
      </c>
    </row>
    <row r="21" ht="21.75" customHeight="1" s="138">
      <c r="A21" s="146" t="inlineStr">
        <is>
          <t xml:space="preserve">      940_FUTA.pdf</t>
        </is>
      </c>
      <c r="B21" s="146" t="inlineStr">
        <is>
          <t>Annual FUTA</t>
        </is>
      </c>
      <c r="C21" s="146" t="inlineStr">
        <is>
          <t>Payroll</t>
        </is>
      </c>
    </row>
    <row r="22" ht="21.75" customHeight="1" s="138">
      <c r="A22" s="150" t="inlineStr">
        <is>
          <t xml:space="preserve">      Payroll_Summary.pdf</t>
        </is>
      </c>
      <c r="B22" s="150" t="inlineStr">
        <is>
          <t>Full year payroll</t>
        </is>
      </c>
      <c r="C22" s="150" t="inlineStr">
        <is>
          <t>Payroll</t>
        </is>
      </c>
    </row>
    <row r="23" ht="21.75" customHeight="1" s="138">
      <c r="A23" s="146" t="inlineStr">
        <is>
          <t xml:space="preserve">      Tax_Liability.pdf</t>
        </is>
      </c>
      <c r="B23" s="146" t="inlineStr">
        <is>
          <t>Tax liability report</t>
        </is>
      </c>
      <c r="C23" s="146" t="inlineStr">
        <is>
          <t>Payroll</t>
        </is>
      </c>
    </row>
    <row r="24" ht="21.75" customHeight="1" s="138">
      <c r="A24" s="150" t="inlineStr">
        <is>
          <t xml:space="preserve">      Owner_Payroll_Joe.pdf</t>
        </is>
      </c>
      <c r="B24" s="150" t="inlineStr">
        <is>
          <t>Owner comp detail</t>
        </is>
      </c>
      <c r="C24" s="150" t="inlineStr">
        <is>
          <t>Payroll</t>
        </is>
      </c>
    </row>
    <row r="25" ht="21.75" customHeight="1" s="138">
      <c r="A25" s="146" t="inlineStr">
        <is>
          <t xml:space="preserve">      Contractor_1099s.pdf</t>
        </is>
      </c>
      <c r="B25" s="146" t="inlineStr">
        <is>
          <t>1099-NEC contractors</t>
        </is>
      </c>
      <c r="C25" s="146" t="inlineStr">
        <is>
          <t>Payroll</t>
        </is>
      </c>
    </row>
    <row r="26" ht="21.75" customHeight="1" s="138">
      <c r="A26" s="208" t="inlineStr">
        <is>
          <t xml:space="preserve">    Assets /</t>
        </is>
      </c>
      <c r="B26" s="150" t="n"/>
      <c r="C26" s="150" t="n"/>
    </row>
    <row r="27" ht="21.75" customHeight="1" s="138">
      <c r="A27" s="146" t="inlineStr">
        <is>
          <t xml:space="preserve">      Truck_Purchase.pdf</t>
        </is>
      </c>
      <c r="B27" s="146" t="inlineStr">
        <is>
          <t>Bill of sale</t>
        </is>
      </c>
      <c r="C27" s="146" t="inlineStr">
        <is>
          <t>Business Asset</t>
        </is>
      </c>
    </row>
    <row r="28" ht="21.75" customHeight="1" s="138">
      <c r="A28" s="150" t="inlineStr">
        <is>
          <t xml:space="preserve">      Truck_LoanDocs.pdf</t>
        </is>
      </c>
      <c r="B28" s="150" t="inlineStr">
        <is>
          <t>Finance agreement</t>
        </is>
      </c>
      <c r="C28" s="150" t="inlineStr">
        <is>
          <t>Business Asset</t>
        </is>
      </c>
    </row>
    <row r="29" ht="21.75" customHeight="1" s="138">
      <c r="A29" s="146" t="inlineStr">
        <is>
          <t xml:space="preserve">      Truck_MileageLog.pdf</t>
        </is>
      </c>
      <c r="B29" s="146" t="inlineStr">
        <is>
          <t>Biz vs personal miles</t>
        </is>
      </c>
      <c r="C29" s="146" t="inlineStr">
        <is>
          <t>Business Asset</t>
        </is>
      </c>
    </row>
    <row r="30" ht="21.75" customHeight="1" s="138">
      <c r="A30" s="150" t="inlineStr">
        <is>
          <t xml:space="preserve">      Truck_Insurance.pdf</t>
        </is>
      </c>
      <c r="B30" s="150" t="inlineStr">
        <is>
          <t>Insurance dec page</t>
        </is>
      </c>
      <c r="C30" s="150" t="inlineStr">
        <is>
          <t>Business Asset</t>
        </is>
      </c>
    </row>
    <row r="31" ht="21.75" customHeight="1" s="138">
      <c r="A31" s="207" t="inlineStr">
        <is>
          <t xml:space="preserve">  03_Rentals /</t>
        </is>
      </c>
      <c r="B31" s="146" t="n"/>
      <c r="C31" s="146" t="n"/>
    </row>
    <row r="32" ht="21.75" customHeight="1" s="138">
      <c r="A32" s="208" t="inlineStr">
        <is>
          <t xml:space="preserve">    Cypress_Home /</t>
        </is>
      </c>
      <c r="B32" s="150" t="n"/>
      <c r="C32" s="150" t="n"/>
    </row>
    <row r="33" ht="21.75" customHeight="1" s="138">
      <c r="A33" s="146" t="inlineStr">
        <is>
          <t xml:space="preserve">      Cypress_1098.pdf</t>
        </is>
      </c>
      <c r="B33" s="146" t="inlineStr">
        <is>
          <t>Mortgage interest</t>
        </is>
      </c>
      <c r="C33" s="146" t="inlineStr">
        <is>
          <t>Rental</t>
        </is>
      </c>
    </row>
    <row r="34" ht="21.75" customHeight="1" s="138">
      <c r="A34" s="150" t="inlineStr">
        <is>
          <t xml:space="preserve">      Cypress_PropertyTax.pdf</t>
        </is>
      </c>
      <c r="B34" s="150" t="inlineStr">
        <is>
          <t>Property taxes</t>
        </is>
      </c>
      <c r="C34" s="150" t="inlineStr">
        <is>
          <t>Rental</t>
        </is>
      </c>
    </row>
    <row r="35" ht="21.75" customHeight="1" s="138">
      <c r="A35" s="146" t="inlineStr">
        <is>
          <t xml:space="preserve">      Cypress_Insurance.pdf</t>
        </is>
      </c>
      <c r="B35" s="146" t="inlineStr">
        <is>
          <t>Landlord insurance</t>
        </is>
      </c>
      <c r="C35" s="146" t="inlineStr">
        <is>
          <t>Rental</t>
        </is>
      </c>
    </row>
    <row r="36" ht="21.75" customHeight="1" s="138">
      <c r="A36" s="150" t="inlineStr">
        <is>
          <t xml:space="preserve">      Cypress_RentIncome.pdf</t>
        </is>
      </c>
      <c r="B36" s="150" t="inlineStr">
        <is>
          <t>Rent collected</t>
        </is>
      </c>
      <c r="C36" s="150" t="inlineStr">
        <is>
          <t>Rental</t>
        </is>
      </c>
    </row>
    <row r="37" ht="21.75" customHeight="1" s="138">
      <c r="A37" s="146" t="inlineStr">
        <is>
          <t xml:space="preserve">      Cypress_Expenses.pdf</t>
        </is>
      </c>
      <c r="B37" s="146" t="inlineStr">
        <is>
          <t>Repairs, HOA, etc.</t>
        </is>
      </c>
      <c r="C37" s="146" t="inlineStr">
        <is>
          <t>Rental</t>
        </is>
      </c>
    </row>
    <row r="38" ht="21.75" customHeight="1" s="138">
      <c r="A38" s="208" t="inlineStr">
        <is>
          <t xml:space="preserve">    Briarwest_Home /</t>
        </is>
      </c>
      <c r="B38" s="150" t="n"/>
      <c r="C38" s="150" t="n"/>
    </row>
    <row r="39" ht="21.75" customHeight="1" s="138">
      <c r="A39" s="146" t="inlineStr">
        <is>
          <t xml:space="preserve">      Briarwest_1098.pdf</t>
        </is>
      </c>
      <c r="B39" s="146" t="inlineStr">
        <is>
          <t>Mortgage interest</t>
        </is>
      </c>
      <c r="C39" s="146" t="inlineStr">
        <is>
          <t>Rental</t>
        </is>
      </c>
    </row>
    <row r="40" ht="21.75" customHeight="1" s="138">
      <c r="A40" s="150" t="inlineStr">
        <is>
          <t xml:space="preserve">      Briarwest_PropertyTax.pdf</t>
        </is>
      </c>
      <c r="B40" s="150" t="inlineStr">
        <is>
          <t>Property taxes</t>
        </is>
      </c>
      <c r="C40" s="150" t="inlineStr">
        <is>
          <t>Rental</t>
        </is>
      </c>
    </row>
    <row r="41" ht="21.75" customHeight="1" s="138">
      <c r="A41" s="146" t="inlineStr">
        <is>
          <t xml:space="preserve">      Briarwest_Insurance.pdf</t>
        </is>
      </c>
      <c r="B41" s="146" t="inlineStr">
        <is>
          <t>Landlord insurance</t>
        </is>
      </c>
      <c r="C41" s="146" t="inlineStr">
        <is>
          <t>Rental</t>
        </is>
      </c>
    </row>
    <row r="42" ht="21.75" customHeight="1" s="138">
      <c r="A42" s="150" t="inlineStr">
        <is>
          <t xml:space="preserve">      Briarwest_RentIncome.pdf</t>
        </is>
      </c>
      <c r="B42" s="150" t="inlineStr">
        <is>
          <t>Rent collected</t>
        </is>
      </c>
      <c r="C42" s="150" t="inlineStr">
        <is>
          <t>Rental</t>
        </is>
      </c>
    </row>
    <row r="43" ht="21.75" customHeight="1" s="138">
      <c r="A43" s="146" t="inlineStr">
        <is>
          <t xml:space="preserve">      Briarwest_Expenses.pdf</t>
        </is>
      </c>
      <c r="B43" s="146" t="inlineStr">
        <is>
          <t>Repairs, HOA, etc.</t>
        </is>
      </c>
      <c r="C43" s="146" t="inlineStr">
        <is>
          <t>Rental</t>
        </is>
      </c>
    </row>
    <row r="44" ht="21.75" customHeight="1" s="138">
      <c r="A44" s="150" t="inlineStr">
        <is>
          <t xml:space="preserve">    Avail_1099K.pdf</t>
        </is>
      </c>
      <c r="B44" s="150" t="inlineStr">
        <is>
          <t>Combined 1099-K ($49,225)</t>
        </is>
      </c>
      <c r="C44" s="150" t="inlineStr">
        <is>
          <t>Rental</t>
        </is>
      </c>
    </row>
    <row r="45" ht="21.75" customHeight="1" s="138">
      <c r="A45" s="207" t="inlineStr">
        <is>
          <t xml:space="preserve">  04_1099_Affiliate_Income /</t>
        </is>
      </c>
      <c r="B45" s="146" t="n"/>
      <c r="C45" s="146" t="n"/>
    </row>
    <row r="46" ht="21.75" customHeight="1" s="138">
      <c r="A46" s="150" t="inlineStr">
        <is>
          <t xml:space="preserve">    CreditBuilder_1099.pdf</t>
        </is>
      </c>
      <c r="B46" s="150" t="inlineStr">
        <is>
          <t>1099-NEC</t>
        </is>
      </c>
      <c r="C46" s="150" t="inlineStr">
        <is>
          <t>1099 Income</t>
        </is>
      </c>
    </row>
    <row r="47" ht="21.75" customHeight="1" s="138">
      <c r="A47" s="146" t="inlineStr">
        <is>
          <t xml:space="preserve">    CreditCardBroker_1099.pdf</t>
        </is>
      </c>
      <c r="B47" s="146" t="inlineStr">
        <is>
          <t>1099-NEC</t>
        </is>
      </c>
      <c r="C47" s="146" t="inlineStr">
        <is>
          <t>1099 Income</t>
        </is>
      </c>
    </row>
    <row r="48" ht="21.75" customHeight="1" s="138">
      <c r="A48" s="150" t="inlineStr">
        <is>
          <t xml:space="preserve">    IdentityIQ_1099.pdf</t>
        </is>
      </c>
      <c r="B48" s="150" t="inlineStr">
        <is>
          <t>1099-NEC</t>
        </is>
      </c>
      <c r="C48" s="150" t="inlineStr">
        <is>
          <t>1099 Income</t>
        </is>
      </c>
    </row>
    <row r="49" ht="21.75" customHeight="1" s="138">
      <c r="A49" s="146" t="inlineStr">
        <is>
          <t xml:space="preserve">    RateSpecial_1099.pdf</t>
        </is>
      </c>
      <c r="B49" s="146" t="inlineStr">
        <is>
          <t>1099-NEC</t>
        </is>
      </c>
      <c r="C49" s="146" t="inlineStr">
        <is>
          <t>1099 Income</t>
        </is>
      </c>
    </row>
    <row r="50" ht="21.75" customHeight="1" s="138">
      <c r="A50" s="208" t="inlineStr">
        <is>
          <t xml:space="preserve">  05_State_TX /</t>
        </is>
      </c>
      <c r="B50" s="150" t="n"/>
      <c r="C50" s="150" t="n"/>
    </row>
    <row r="51" ht="21.75" customHeight="1" s="138">
      <c r="A51" s="146" t="inlineStr">
        <is>
          <t xml:space="preserve">    TX_Withholding.pdf</t>
        </is>
      </c>
      <c r="B51" s="146" t="inlineStr">
        <is>
          <t>Quarterly withholding</t>
        </is>
      </c>
      <c r="C51" s="146" t="inlineStr">
        <is>
          <t>State</t>
        </is>
      </c>
    </row>
    <row r="52" ht="21.75" customHeight="1" s="138">
      <c r="A52" s="150" t="inlineStr">
        <is>
          <t xml:space="preserve">    TX_SUTA.pdf</t>
        </is>
      </c>
      <c r="B52" s="150" t="inlineStr">
        <is>
          <t>Unemployment annual</t>
        </is>
      </c>
      <c r="C52" s="150" t="inlineStr">
        <is>
          <t>State</t>
        </is>
      </c>
    </row>
    <row r="53" ht="21.75" customHeight="1" s="138">
      <c r="A53" s="146" t="inlineStr">
        <is>
          <t xml:space="preserve">    TX_FranchiseTax.pdf</t>
        </is>
      </c>
      <c r="B53" s="146" t="inlineStr">
        <is>
          <t>Franchise tax report</t>
        </is>
      </c>
      <c r="C53" s="146" t="inlineStr">
        <is>
          <t>State</t>
        </is>
      </c>
    </row>
    <row r="55" ht="15" customHeight="1" s="138">
      <c r="A55" s="209" t="inlineStr">
        <is>
          <t>FILES YOU ALREADY HAVE (Upload to matching folders above)</t>
        </is>
      </c>
    </row>
    <row r="56" ht="21.75" customHeight="1" s="138">
      <c r="A56" s="210" t="inlineStr">
        <is>
          <t>ASAP_Credit_Repair_2025_PnL_CPA.docx</t>
        </is>
      </c>
      <c r="B56" s="146" t="inlineStr">
        <is>
          <t>Upload to: 02_ASAP_Credit_Repair/Financials/</t>
        </is>
      </c>
      <c r="C56" s="146" t="inlineStr">
        <is>
          <t>Business</t>
        </is>
      </c>
    </row>
    <row r="57" ht="21.75" customHeight="1" s="138">
      <c r="A57" s="211" t="inlineStr">
        <is>
          <t>ilovepdf_merged.pdf (Chase CC Stmts - 143pg)</t>
        </is>
      </c>
      <c r="B57" s="150" t="inlineStr">
        <is>
          <t>Upload to: 02_ASAP_Credit_Repair/Expenses/</t>
        </is>
      </c>
      <c r="C57" s="150" t="inlineStr">
        <is>
          <t>Business</t>
        </is>
      </c>
    </row>
    <row r="58" ht="21.75" customHeight="1" s="138">
      <c r="A58" s="210" t="inlineStr">
        <is>
          <t>Amex_2025_Spend.csv (598 transactions)</t>
        </is>
      </c>
      <c r="B58" s="146" t="inlineStr">
        <is>
          <t>Upload to: 02_ASAP_Credit_Repair/Expenses/</t>
        </is>
      </c>
      <c r="C58" s="146" t="inlineStr">
        <is>
          <t>Business</t>
        </is>
      </c>
    </row>
    <row r="60" ht="24" customHeight="1" s="138">
      <c r="A60" s="164" t="inlineStr">
        <is>
          <t>FILES RECEIVED (8 docs - Upload to matching folders)</t>
        </is>
      </c>
      <c r="B60" s="143" t="n"/>
      <c r="C60" s="144" t="n"/>
    </row>
    <row r="61" ht="21.75" customHeight="1" s="138">
      <c r="A61" s="210" t="inlineStr">
        <is>
          <t>ASAP_Credit_Repair_2025_PnL_CPA.docx</t>
        </is>
      </c>
      <c r="B61" s="146" t="inlineStr">
        <is>
          <t>02_ASAP_Credit_Repair/Financials/</t>
        </is>
      </c>
      <c r="C61" s="146" t="inlineStr">
        <is>
          <t>Business</t>
        </is>
      </c>
    </row>
    <row r="62" ht="21.75" customHeight="1" s="138">
      <c r="A62" s="211" t="inlineStr">
        <is>
          <t>ilovepdf_merged.pdf (Chase CC)</t>
        </is>
      </c>
      <c r="B62" s="150" t="inlineStr">
        <is>
          <t>02_ASAP_Credit_Repair/Expenses/</t>
        </is>
      </c>
      <c r="C62" s="150" t="inlineStr">
        <is>
          <t>Business</t>
        </is>
      </c>
    </row>
    <row r="63" ht="21.75" customHeight="1" s="138">
      <c r="A63" s="210" t="inlineStr">
        <is>
          <t>Amex_2025_Spend.csv</t>
        </is>
      </c>
      <c r="B63" s="146" t="inlineStr">
        <is>
          <t>02_ASAP_Credit_Repair/Expenses/</t>
        </is>
      </c>
      <c r="C63" s="146" t="inlineStr">
        <is>
          <t>Business</t>
        </is>
      </c>
    </row>
    <row r="64" ht="21.75" customHeight="1" s="138">
      <c r="A64" s="211" t="inlineStr">
        <is>
          <t>Tax_Document.pdf (1098)</t>
        </is>
      </c>
      <c r="B64" s="150" t="inlineStr">
        <is>
          <t>01_Personal/</t>
        </is>
      </c>
      <c r="C64" s="150" t="inlineStr">
        <is>
          <t>Personal</t>
        </is>
      </c>
    </row>
    <row r="65" ht="21.75" customHeight="1" s="138">
      <c r="A65" s="210" t="inlineStr">
        <is>
          <t>Primary_Home_Billing_Statement.pdf</t>
        </is>
      </c>
      <c r="B65" s="146" t="inlineStr">
        <is>
          <t>01_Personal/</t>
        </is>
      </c>
      <c r="C65" s="146" t="inlineStr">
        <is>
          <t>Personal</t>
        </is>
      </c>
    </row>
    <row r="66" ht="21.75" customHeight="1" s="138">
      <c r="A66" s="211" t="inlineStr">
        <is>
          <t>Joe_Mahlow_W-2.pdf</t>
        </is>
      </c>
      <c r="B66" s="150" t="inlineStr">
        <is>
          <t>01_Personal/</t>
        </is>
      </c>
      <c r="C66" s="150" t="inlineStr">
        <is>
          <t>Personal</t>
        </is>
      </c>
    </row>
    <row r="67" ht="21.75" customHeight="1" s="138">
      <c r="A67" s="210" t="inlineStr">
        <is>
          <t>Aubrey_W-2_part_1.jpg</t>
        </is>
      </c>
      <c r="B67" s="146" t="inlineStr">
        <is>
          <t>01_Personal/</t>
        </is>
      </c>
      <c r="C67" s="146" t="inlineStr">
        <is>
          <t>Personal</t>
        </is>
      </c>
    </row>
    <row r="68" ht="21.75" customHeight="1" s="138">
      <c r="A68" s="211" t="inlineStr">
        <is>
          <t>Aubrey_W-2_part_2.jpg</t>
        </is>
      </c>
      <c r="B68" s="150" t="inlineStr">
        <is>
          <t>01_Personal/</t>
        </is>
      </c>
      <c r="C68" s="150" t="inlineStr">
        <is>
          <t>Personal</t>
        </is>
      </c>
    </row>
  </sheetData>
  <mergeCells count="3">
    <mergeCell ref="A1:C1"/>
    <mergeCell ref="A60:C60"/>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I5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37" min="1" max="1"/>
    <col width="14" customWidth="1" style="137" min="2" max="6"/>
    <col width="16" customWidth="1" style="137" min="7" max="7"/>
    <col width="14" customWidth="1" style="137" min="8" max="9"/>
  </cols>
  <sheetData>
    <row r="1" ht="27.75" customHeight="1" s="138">
      <c r="A1" s="212" t="inlineStr">
        <is>
          <t>ASAP CREDIT REPAIR LLC — 2025 W-2 SUMMARY</t>
        </is>
      </c>
    </row>
    <row r="2" ht="19.5" customHeight="1" s="138">
      <c r="A2" s="213" t="inlineStr">
        <is>
          <t>EIN: 47-3178009  |  Paychex PEO V LLC  |  EIN on W-2s: 46-0676638  |  Tax Year: 2025</t>
        </is>
      </c>
    </row>
    <row r="3" ht="7.5" customHeight="1" s="138"/>
    <row r="4" ht="36" customHeight="1" s="138">
      <c r="A4" s="214" t="inlineStr">
        <is>
          <t>Employee</t>
        </is>
      </c>
      <c r="B4" s="214" t="inlineStr">
        <is>
          <t>Role</t>
        </is>
      </c>
      <c r="C4" s="214" t="inlineStr">
        <is>
          <t>Box 1
Wages</t>
        </is>
      </c>
      <c r="D4" s="214" t="inlineStr">
        <is>
          <t>Box 2
Fed Tax W/H</t>
        </is>
      </c>
      <c r="E4" s="214" t="inlineStr">
        <is>
          <t>Box 3
SS Wages</t>
        </is>
      </c>
      <c r="F4" s="214" t="inlineStr">
        <is>
          <t>Box 4
SS Tax W/H</t>
        </is>
      </c>
      <c r="G4" s="214" t="inlineStr">
        <is>
          <t>Box 5
Medicare Wages</t>
        </is>
      </c>
      <c r="H4" s="214" t="inlineStr">
        <is>
          <t>Box 6
Medicare Tax</t>
        </is>
      </c>
      <c r="I4" s="214" t="inlineStr">
        <is>
          <t>Box 12
401k (D)</t>
        </is>
      </c>
    </row>
    <row r="5" ht="18" customHeight="1" s="138">
      <c r="A5" s="215" t="inlineStr">
        <is>
          <t>Cynthia D. Broadstreet</t>
        </is>
      </c>
      <c r="B5" s="215" t="inlineStr">
        <is>
          <t>Consultant</t>
        </is>
      </c>
      <c r="C5" s="216" t="n">
        <v>78941.13</v>
      </c>
      <c r="D5" s="216" t="n">
        <v>6155.64</v>
      </c>
      <c r="E5" s="216" t="n">
        <v>78941.13</v>
      </c>
      <c r="F5" s="216" t="n">
        <v>4894.35</v>
      </c>
      <c r="G5" s="216" t="n">
        <v>78941.13</v>
      </c>
      <c r="H5" s="216" t="n">
        <v>1144.65</v>
      </c>
      <c r="I5" s="216" t="n">
        <v>0</v>
      </c>
    </row>
    <row r="6" ht="18" customHeight="1" s="138">
      <c r="A6" s="217" t="inlineStr">
        <is>
          <t>Thelma R. Ceja Gonzalez</t>
        </is>
      </c>
      <c r="B6" s="217" t="inlineStr">
        <is>
          <t>Credit Rep</t>
        </is>
      </c>
      <c r="C6" s="218" t="n">
        <v>7089</v>
      </c>
      <c r="D6" s="218" t="n">
        <v>0</v>
      </c>
      <c r="E6" s="218" t="n">
        <v>7089</v>
      </c>
      <c r="F6" s="218" t="n">
        <v>439.52</v>
      </c>
      <c r="G6" s="218" t="n">
        <v>7089</v>
      </c>
      <c r="H6" s="218" t="n">
        <v>102.79</v>
      </c>
      <c r="I6" s="218" t="n">
        <v>0</v>
      </c>
    </row>
    <row r="7" ht="18" customHeight="1" s="138">
      <c r="A7" s="215" t="inlineStr">
        <is>
          <t>Eric De La Rosa</t>
        </is>
      </c>
      <c r="B7" s="215" t="inlineStr">
        <is>
          <t>Consultant</t>
        </is>
      </c>
      <c r="C7" s="216" t="n">
        <v>78086.35000000001</v>
      </c>
      <c r="D7" s="216" t="n">
        <v>9680.33</v>
      </c>
      <c r="E7" s="216" t="n">
        <v>78086.35000000001</v>
      </c>
      <c r="F7" s="216" t="n">
        <v>4841.35</v>
      </c>
      <c r="G7" s="216" t="n">
        <v>78086.35000000001</v>
      </c>
      <c r="H7" s="216" t="n">
        <v>1132.25</v>
      </c>
      <c r="I7" s="216" t="n">
        <v>0</v>
      </c>
    </row>
    <row r="8" ht="18" customHeight="1" s="138">
      <c r="A8" s="217" t="inlineStr">
        <is>
          <t>Astrid C. Lemus</t>
        </is>
      </c>
      <c r="B8" s="217" t="inlineStr">
        <is>
          <t>Director</t>
        </is>
      </c>
      <c r="C8" s="218" t="n">
        <v>71592.96000000001</v>
      </c>
      <c r="D8" s="218" t="n">
        <v>8310.48</v>
      </c>
      <c r="E8" s="218" t="n">
        <v>71592.96000000001</v>
      </c>
      <c r="F8" s="218" t="n">
        <v>4438.76</v>
      </c>
      <c r="G8" s="218" t="n">
        <v>71592.96000000001</v>
      </c>
      <c r="H8" s="218" t="n">
        <v>1038.1</v>
      </c>
      <c r="I8" s="218" t="n">
        <v>0</v>
      </c>
    </row>
    <row r="9" ht="18" customHeight="1" s="138">
      <c r="A9" s="219" t="inlineStr">
        <is>
          <t>Joseph Mahlow</t>
        </is>
      </c>
      <c r="B9" s="215" t="inlineStr">
        <is>
          <t>Owner/CEO</t>
        </is>
      </c>
      <c r="C9" s="216" t="n">
        <v>93060</v>
      </c>
      <c r="D9" s="216" t="n">
        <v>12087.12</v>
      </c>
      <c r="E9" s="216" t="n">
        <v>94000</v>
      </c>
      <c r="F9" s="216" t="n">
        <v>5828</v>
      </c>
      <c r="G9" s="216" t="n">
        <v>94000</v>
      </c>
      <c r="H9" s="216" t="n">
        <v>1363</v>
      </c>
      <c r="I9" s="216" t="n">
        <v>940</v>
      </c>
    </row>
    <row r="10" ht="18" customHeight="1" s="138">
      <c r="A10" s="217" t="inlineStr">
        <is>
          <t>Erika M. Martinez</t>
        </is>
      </c>
      <c r="B10" s="217" t="inlineStr">
        <is>
          <t>Credit Rep</t>
        </is>
      </c>
      <c r="C10" s="218" t="n">
        <v>29121.12</v>
      </c>
      <c r="D10" s="218" t="n">
        <v>1456.08</v>
      </c>
      <c r="E10" s="218" t="n">
        <v>29121.12</v>
      </c>
      <c r="F10" s="218" t="n">
        <v>1805.51</v>
      </c>
      <c r="G10" s="218" t="n">
        <v>29121.12</v>
      </c>
      <c r="H10" s="218" t="n">
        <v>422.26</v>
      </c>
      <c r="I10" s="218" t="n">
        <v>0</v>
      </c>
    </row>
    <row r="11" ht="18" customHeight="1" s="138">
      <c r="A11" s="215" t="inlineStr">
        <is>
          <t>Mariana Navarro</t>
        </is>
      </c>
      <c r="B11" s="215" t="inlineStr">
        <is>
          <t>Manager</t>
        </is>
      </c>
      <c r="C11" s="216" t="n">
        <v>38427.36</v>
      </c>
      <c r="D11" s="216" t="n">
        <v>2572.8</v>
      </c>
      <c r="E11" s="216" t="n">
        <v>38427.36</v>
      </c>
      <c r="F11" s="216" t="n">
        <v>2382.5</v>
      </c>
      <c r="G11" s="216" t="n">
        <v>38427.36</v>
      </c>
      <c r="H11" s="216" t="n">
        <v>557.2</v>
      </c>
      <c r="I11" s="216" t="n">
        <v>0</v>
      </c>
    </row>
    <row r="12" ht="18" customHeight="1" s="138">
      <c r="A12" s="217" t="inlineStr">
        <is>
          <t>Kimberly I. Sanchez</t>
        </is>
      </c>
      <c r="B12" s="217" t="inlineStr">
        <is>
          <t>Manager</t>
        </is>
      </c>
      <c r="C12" s="218" t="n">
        <v>53075</v>
      </c>
      <c r="D12" s="218" t="n">
        <v>3323.88</v>
      </c>
      <c r="E12" s="218" t="n">
        <v>53075</v>
      </c>
      <c r="F12" s="218" t="n">
        <v>3290.65</v>
      </c>
      <c r="G12" s="218" t="n">
        <v>53075</v>
      </c>
      <c r="H12" s="218" t="n">
        <v>769.59</v>
      </c>
      <c r="I12" s="218" t="n">
        <v>0</v>
      </c>
    </row>
    <row r="13" ht="19.5" customHeight="1" s="138">
      <c r="A13" s="220" t="inlineStr">
        <is>
          <t>TOTAL (8 Employees)</t>
        </is>
      </c>
      <c r="B13" s="220" t="n"/>
      <c r="C13" s="221">
        <f>SUM(C5:C12)</f>
        <v/>
      </c>
      <c r="D13" s="221">
        <f>SUM(D5:D12)</f>
        <v/>
      </c>
      <c r="E13" s="221">
        <f>SUM(E5:E12)</f>
        <v/>
      </c>
      <c r="F13" s="221">
        <f>SUM(F5:F12)</f>
        <v/>
      </c>
      <c r="G13" s="221">
        <f>SUM(G5:G12)</f>
        <v/>
      </c>
      <c r="H13" s="221">
        <f>SUM(H5:H12)</f>
        <v/>
      </c>
      <c r="I13" s="221">
        <f>SUM(I5:I12)</f>
        <v/>
      </c>
    </row>
    <row r="14" ht="9.75" customHeight="1" s="138"/>
    <row r="15" ht="21.75" customHeight="1" s="138">
      <c r="A15" s="222" t="inlineStr">
        <is>
          <t>PAYROLL RECONCILIATION</t>
        </is>
      </c>
    </row>
    <row r="16" ht="18" customHeight="1" s="138">
      <c r="A16" s="223" t="inlineStr">
        <is>
          <t>Description</t>
        </is>
      </c>
      <c r="B16" s="223" t="inlineStr">
        <is>
          <t>Amount</t>
        </is>
      </c>
      <c r="C16" s="223" t="inlineStr">
        <is>
          <t>Notes</t>
        </is>
      </c>
    </row>
    <row r="17" ht="18" customHeight="1" s="138">
      <c r="A17" s="215" t="inlineStr">
        <is>
          <t>Total W-2 Box 1 Wages (employee taxable pay)</t>
        </is>
      </c>
      <c r="B17" s="216">
        <f>C13</f>
        <v/>
      </c>
      <c r="C17" s="215" t="inlineStr">
        <is>
          <t>Sum of all 8 W-2s</t>
        </is>
      </c>
    </row>
    <row r="18" ht="18" customHeight="1" s="138">
      <c r="A18" s="217" t="inlineStr">
        <is>
          <t>401k Deferral - Joseph Mahlow (Box 12-D)</t>
        </is>
      </c>
      <c r="B18" s="218" t="n">
        <v>940</v>
      </c>
      <c r="C18" s="217" t="inlineStr">
        <is>
          <t>Added back to SS wages — $940</t>
        </is>
      </c>
    </row>
    <row r="19" ht="18" customHeight="1" s="138">
      <c r="A19" s="215" t="inlineStr">
        <is>
          <t>P&amp;L Payroll Expense</t>
        </is>
      </c>
      <c r="B19" s="216" t="n">
        <v>599736.8199999999</v>
      </c>
      <c r="C19" s="215" t="inlineStr">
        <is>
          <t>From ASAP Credit Repair 2025 P&amp;L</t>
        </is>
      </c>
    </row>
    <row r="20" ht="18" customHeight="1" s="138">
      <c r="A20" s="217" t="inlineStr">
        <is>
          <t>Difference (P&amp;L minus W-2 wages)</t>
        </is>
      </c>
      <c r="B20" s="218">
        <f>B19-B17</f>
        <v/>
      </c>
      <c r="C20" s="217" t="inlineStr">
        <is>
          <t>Employer FICA + Paychex fees + benefits</t>
        </is>
      </c>
    </row>
    <row r="21" ht="9.75" customHeight="1" s="138"/>
    <row r="22" ht="21.75" customHeight="1" s="138">
      <c r="A22" s="224" t="inlineStr">
        <is>
          <t>⚠️  CPA FLAGS — ITEMS REQUIRING ATTENTION</t>
        </is>
      </c>
    </row>
    <row r="23" ht="30" customHeight="1" s="138">
      <c r="A23" s="225" t="inlineStr">
        <is>
          <t>FLAG 1</t>
        </is>
      </c>
      <c r="B23" s="226" t="inlineStr">
        <is>
          <t>Joseph Mahlow W-2 Box 1 wages = $93,060. Expected ~$96,000. Difference = $2,940. Box 12-D 401k = $940. Remaining $2,000 variance unexplained — CPA to investigate with Paychex.</t>
        </is>
      </c>
      <c r="C23" s="194" t="n"/>
      <c r="D23" s="194" t="n"/>
      <c r="E23" s="194" t="n"/>
      <c r="F23" s="194" t="n"/>
      <c r="G23" s="194" t="n"/>
      <c r="H23" s="194" t="n"/>
      <c r="I23" s="194" t="n"/>
    </row>
    <row r="24" ht="30" customHeight="1" s="138">
      <c r="A24" s="225" t="inlineStr">
        <is>
          <t>FLAG 2</t>
        </is>
      </c>
      <c r="B24" s="226" t="inlineStr">
        <is>
          <t>Paychex files under EIN 46-0676638 (Paychex PEO V LLC) — NOT ASAP's EIN 47-3178009. CPA must confirm correct EIN on 1120-S and W-3.</t>
        </is>
      </c>
      <c r="C24" s="194" t="n"/>
      <c r="D24" s="194" t="n"/>
      <c r="E24" s="194" t="n"/>
      <c r="F24" s="194" t="n"/>
      <c r="G24" s="194" t="n"/>
      <c r="H24" s="194" t="n"/>
      <c r="I24" s="194" t="n"/>
    </row>
    <row r="25" ht="30" customHeight="1" s="138">
      <c r="A25" s="225" t="inlineStr">
        <is>
          <t>FLAG 3</t>
        </is>
      </c>
      <c r="B25" s="226" t="inlineStr">
        <is>
          <t>No W-3 Transmittal available from Paychex portal. CPA should call Paychex (1-800-472-0072) to obtain official W-3 and verify total wages match this summary.</t>
        </is>
      </c>
      <c r="C25" s="194" t="n"/>
      <c r="D25" s="194" t="n"/>
      <c r="E25" s="194" t="n"/>
      <c r="F25" s="194" t="n"/>
      <c r="G25" s="194" t="n"/>
      <c r="H25" s="194" t="n"/>
      <c r="I25" s="194" t="n"/>
    </row>
    <row r="26" ht="30" customHeight="1" s="138">
      <c r="A26" s="225" t="inlineStr">
        <is>
          <t>FLAG 4</t>
        </is>
      </c>
      <c r="B26" s="226" t="inlineStr">
        <is>
          <t>No Form 940 (FUTA) or Form 941 (quarterly) available in portal. Request from Paychex or use Tax Payment Report as substitute.</t>
        </is>
      </c>
      <c r="C26" s="194" t="n"/>
      <c r="D26" s="194" t="n"/>
      <c r="E26" s="194" t="n"/>
      <c r="F26" s="194" t="n"/>
      <c r="G26" s="194" t="n"/>
      <c r="H26" s="194" t="n"/>
      <c r="I26" s="194" t="n"/>
    </row>
    <row r="27" ht="30" customHeight="1" s="138">
      <c r="A27" s="225" t="inlineStr">
        <is>
          <t>FLAG 5</t>
        </is>
      </c>
      <c r="B27" s="226" t="inlineStr">
        <is>
          <t>Thelma R. Ceja Gonzalez Box 2 Federal tax withheld = $0. Verify this is correct (may be exempt or low earner).</t>
        </is>
      </c>
      <c r="C27" s="194" t="n"/>
      <c r="D27" s="194" t="n"/>
      <c r="E27" s="194" t="n"/>
      <c r="F27" s="194" t="n"/>
      <c r="G27" s="194" t="n"/>
      <c r="H27" s="194" t="n"/>
      <c r="I27" s="194" t="n"/>
    </row>
    <row r="29" ht="24" customHeight="1" s="138">
      <c r="A29" s="227" t="inlineStr">
        <is>
          <t>ESTIMATED PAYROLL TAX SUMMARY  (Pending Official Paychex Forms — W-3 / 940 / 941)</t>
        </is>
      </c>
    </row>
    <row r="30" ht="19.5" customHeight="1" s="138">
      <c r="A30" s="228" t="inlineStr">
        <is>
          <t>⚠️  ESTIMATED VALUES — Calculated from W-2 data above. Replace with official Paychex 940 / W-3 / 941s when received.</t>
        </is>
      </c>
    </row>
    <row r="31" ht="19.5" customHeight="1" s="138">
      <c r="A31" s="213" t="inlineStr">
        <is>
          <t>FORM W-3 TRANSMITTAL — ESTIMATED</t>
        </is>
      </c>
    </row>
    <row r="32" ht="18" customHeight="1" s="138">
      <c r="A32" s="192" t="inlineStr">
        <is>
          <t>Box 1  — Total Wages, Tips</t>
        </is>
      </c>
      <c r="B32" s="229">
        <f>C13</f>
        <v/>
      </c>
      <c r="C32" s="193" t="inlineStr">
        <is>
          <t>Sum of all 8 W-2 Box 1</t>
        </is>
      </c>
      <c r="D32" s="194" t="n"/>
      <c r="E32" s="194" t="n"/>
      <c r="F32" s="194" t="n"/>
      <c r="G32" s="194" t="n"/>
      <c r="H32" s="194" t="n"/>
      <c r="I32" s="194" t="n"/>
    </row>
    <row r="33" ht="18" customHeight="1" s="138">
      <c r="A33" s="199" t="inlineStr">
        <is>
          <t>Box 2  — Total Federal Tax Withheld</t>
        </is>
      </c>
      <c r="B33" s="230">
        <f>D13</f>
        <v/>
      </c>
      <c r="C33" s="197" t="inlineStr">
        <is>
          <t>Sum of all 8 W-2 Box 2</t>
        </is>
      </c>
      <c r="D33" s="194" t="n"/>
      <c r="E33" s="194" t="n"/>
      <c r="F33" s="194" t="n"/>
      <c r="G33" s="194" t="n"/>
      <c r="H33" s="194" t="n"/>
      <c r="I33" s="194" t="n"/>
    </row>
    <row r="34" ht="18" customHeight="1" s="138">
      <c r="A34" s="192" t="inlineStr">
        <is>
          <t>Box 3  — Total SS Wages</t>
        </is>
      </c>
      <c r="B34" s="229">
        <f>E13</f>
        <v/>
      </c>
      <c r="C34" s="193" t="inlineStr">
        <is>
          <t>Includes Joe 401k deferral</t>
        </is>
      </c>
      <c r="D34" s="194" t="n"/>
      <c r="E34" s="194" t="n"/>
      <c r="F34" s="194" t="n"/>
      <c r="G34" s="194" t="n"/>
      <c r="H34" s="194" t="n"/>
      <c r="I34" s="194" t="n"/>
    </row>
    <row r="35" ht="18" customHeight="1" s="138">
      <c r="A35" s="199" t="inlineStr">
        <is>
          <t>Box 4  — Total SS Tax Withheld</t>
        </is>
      </c>
      <c r="B35" s="230">
        <f>F13</f>
        <v/>
      </c>
      <c r="C35" s="197" t="inlineStr">
        <is>
          <t>Employee portion only</t>
        </is>
      </c>
      <c r="D35" s="194" t="n"/>
      <c r="E35" s="194" t="n"/>
      <c r="F35" s="194" t="n"/>
      <c r="G35" s="194" t="n"/>
      <c r="H35" s="194" t="n"/>
      <c r="I35" s="194" t="n"/>
    </row>
    <row r="36" ht="18" customHeight="1" s="138">
      <c r="A36" s="192" t="inlineStr">
        <is>
          <t>Box 5  — Total Medicare Wages</t>
        </is>
      </c>
      <c r="B36" s="229">
        <f>G13</f>
        <v/>
      </c>
      <c r="C36" s="193" t="inlineStr">
        <is>
          <t>Should equal Box 3</t>
        </is>
      </c>
      <c r="D36" s="194" t="n"/>
      <c r="E36" s="194" t="n"/>
      <c r="F36" s="194" t="n"/>
      <c r="G36" s="194" t="n"/>
      <c r="H36" s="194" t="n"/>
      <c r="I36" s="194" t="n"/>
    </row>
    <row r="37" ht="18" customHeight="1" s="138">
      <c r="A37" s="199" t="inlineStr">
        <is>
          <t>Box 6  — Total Medicare Tax Withheld</t>
        </is>
      </c>
      <c r="B37" s="230">
        <f>H13</f>
        <v/>
      </c>
      <c r="C37" s="197" t="inlineStr">
        <is>
          <t>Employee portion only</t>
        </is>
      </c>
      <c r="D37" s="194" t="n"/>
      <c r="E37" s="194" t="n"/>
      <c r="F37" s="194" t="n"/>
      <c r="G37" s="194" t="n"/>
      <c r="H37" s="194" t="n"/>
      <c r="I37" s="194" t="n"/>
    </row>
    <row r="38" ht="18" customHeight="1" s="138">
      <c r="A38" s="192" t="inlineStr">
        <is>
          <t>Box 14 — Total 401k (Joe, Code D)</t>
        </is>
      </c>
      <c r="B38" s="229" t="n">
        <v>940</v>
      </c>
      <c r="C38" s="193" t="inlineStr">
        <is>
          <t>Joseph Mahlow only</t>
        </is>
      </c>
      <c r="D38" s="194" t="n"/>
      <c r="E38" s="194" t="n"/>
      <c r="F38" s="194" t="n"/>
      <c r="G38" s="194" t="n"/>
      <c r="H38" s="194" t="n"/>
      <c r="I38" s="194" t="n"/>
    </row>
    <row r="39" ht="18" customHeight="1" s="138">
      <c r="A39" s="199" t="inlineStr">
        <is>
          <t>Number of W-2s</t>
        </is>
      </c>
      <c r="B39" s="231" t="n">
        <v>8</v>
      </c>
      <c r="C39" s="197" t="inlineStr">
        <is>
          <t>All 8 employees</t>
        </is>
      </c>
      <c r="D39" s="194" t="n"/>
      <c r="E39" s="194" t="n"/>
      <c r="F39" s="194" t="n"/>
      <c r="G39" s="194" t="n"/>
      <c r="H39" s="194" t="n"/>
      <c r="I39" s="194" t="n"/>
    </row>
    <row r="41" ht="19.5" customHeight="1" s="138">
      <c r="A41" s="213" t="inlineStr">
        <is>
          <t>FORM 940 (FUTA) — ESTIMATED</t>
        </is>
      </c>
    </row>
    <row r="42" ht="18" customHeight="1" s="138">
      <c r="A42" s="192" t="inlineStr">
        <is>
          <t>Total Wages Paid</t>
        </is>
      </c>
      <c r="B42" s="198" t="n">
        <v>449392.92</v>
      </c>
      <c r="C42" s="193" t="inlineStr">
        <is>
          <t>W-2 Box 1 total</t>
        </is>
      </c>
      <c r="D42" s="194" t="n"/>
      <c r="E42" s="194" t="n"/>
      <c r="F42" s="194" t="n"/>
      <c r="G42" s="194" t="n"/>
      <c r="H42" s="194" t="n"/>
      <c r="I42" s="194" t="n"/>
    </row>
    <row r="43" ht="18" customHeight="1" s="138">
      <c r="A43" s="199" t="inlineStr">
        <is>
          <t>Wages over FUTA $7,000 limit (excl)</t>
        </is>
      </c>
      <c r="B43" s="200" t="n">
        <v>393392.92</v>
      </c>
      <c r="C43" s="197" t="inlineStr">
        <is>
          <t>449,392 minus (8 x $7,000)</t>
        </is>
      </c>
      <c r="D43" s="194" t="n"/>
      <c r="E43" s="194" t="n"/>
      <c r="F43" s="194" t="n"/>
      <c r="G43" s="194" t="n"/>
      <c r="H43" s="194" t="n"/>
      <c r="I43" s="194" t="n"/>
    </row>
    <row r="44" ht="18" customHeight="1" s="138">
      <c r="A44" s="192" t="inlineStr">
        <is>
          <t>FUTA Taxable Wages</t>
        </is>
      </c>
      <c r="B44" s="198" t="n">
        <v>56000</v>
      </c>
      <c r="C44" s="193" t="inlineStr">
        <is>
          <t>8 employees x $7,000</t>
        </is>
      </c>
      <c r="D44" s="194" t="n"/>
      <c r="E44" s="194" t="n"/>
      <c r="F44" s="194" t="n"/>
      <c r="G44" s="194" t="n"/>
      <c r="H44" s="194" t="n"/>
      <c r="I44" s="194" t="n"/>
    </row>
    <row r="45" ht="18" customHeight="1" s="138">
      <c r="A45" s="199" t="inlineStr">
        <is>
          <t>FUTA Tax Rate (Net after TX credit)</t>
        </is>
      </c>
      <c r="B45" s="232" t="n">
        <v>0.006</v>
      </c>
      <c r="C45" s="197" t="inlineStr">
        <is>
          <t>0.6% — TX is FUTA credit state</t>
        </is>
      </c>
      <c r="D45" s="194" t="n"/>
      <c r="E45" s="194" t="n"/>
      <c r="F45" s="194" t="n"/>
      <c r="G45" s="194" t="n"/>
      <c r="H45" s="194" t="n"/>
      <c r="I45" s="194" t="n"/>
    </row>
    <row r="46" ht="18" customHeight="1" s="138">
      <c r="A46" s="192" t="inlineStr">
        <is>
          <t>Estimated Form 940 Tax Due</t>
        </is>
      </c>
      <c r="B46" s="229" t="n">
        <v>336</v>
      </c>
      <c r="C46" s="193" t="inlineStr">
        <is>
          <t>56000 x 0.6% = 336</t>
        </is>
      </c>
      <c r="D46" s="194" t="n"/>
      <c r="E46" s="194" t="n"/>
      <c r="F46" s="194" t="n"/>
      <c r="G46" s="194" t="n"/>
      <c r="H46" s="194" t="n"/>
      <c r="I46" s="194" t="n"/>
    </row>
    <row r="48" ht="19.5" customHeight="1" s="138">
      <c r="A48" s="213" t="inlineStr">
        <is>
          <t>FORM 941 QUARTERLY ESTIMATES  (Equal-distribution approximation — replace with actual when received)</t>
        </is>
      </c>
    </row>
    <row r="49" ht="18" customHeight="1" s="138">
      <c r="A49" s="233" t="n"/>
      <c r="B49" s="233" t="inlineStr">
        <is>
          <t>Q1 (Jan–Mar)</t>
        </is>
      </c>
      <c r="C49" s="233" t="inlineStr">
        <is>
          <t>Q2 (Apr–Jun)</t>
        </is>
      </c>
      <c r="D49" s="233" t="inlineStr">
        <is>
          <t>Q3 (Jul–Sep)</t>
        </is>
      </c>
      <c r="E49" s="233" t="inlineStr">
        <is>
          <t>Q4 (Oct–Dec)</t>
        </is>
      </c>
      <c r="F49" s="233" t="inlineStr">
        <is>
          <t>ANNUAL TOTAL</t>
        </is>
      </c>
      <c r="G49" s="233" t="inlineStr">
        <is>
          <t>Notes</t>
        </is>
      </c>
    </row>
    <row r="50" ht="18" customHeight="1" s="138">
      <c r="A50" s="192" t="inlineStr">
        <is>
          <t>Wages Subject to Tax</t>
        </is>
      </c>
      <c r="B50" s="198" t="n">
        <v>112348.23</v>
      </c>
      <c r="C50" s="198" t="n">
        <v>112348.23</v>
      </c>
      <c r="D50" s="198" t="n">
        <v>112348.23</v>
      </c>
      <c r="E50" s="198" t="n">
        <v>112348.23</v>
      </c>
      <c r="F50" s="198" t="n">
        <v>449392.92</v>
      </c>
      <c r="G50" s="193" t="inlineStr">
        <is>
          <t>÷4 per qtr estimate</t>
        </is>
      </c>
      <c r="H50" s="194" t="n"/>
      <c r="I50" s="194" t="n"/>
    </row>
    <row r="51" ht="18" customHeight="1" s="138">
      <c r="A51" s="199" t="inlineStr">
        <is>
          <t>Federal Income Tax W/H</t>
        </is>
      </c>
      <c r="B51" s="200" t="n">
        <v>10896.5825</v>
      </c>
      <c r="C51" s="200" t="n">
        <v>10896.5825</v>
      </c>
      <c r="D51" s="200" t="n">
        <v>10896.5825</v>
      </c>
      <c r="E51" s="200" t="n">
        <v>10896.5825</v>
      </c>
      <c r="F51" s="200" t="n">
        <v>43586.33</v>
      </c>
      <c r="G51" s="197" t="inlineStr">
        <is>
          <t>W-2 Box 2 total</t>
        </is>
      </c>
      <c r="H51" s="194" t="n"/>
      <c r="I51" s="194" t="n"/>
    </row>
    <row r="52" ht="18" customHeight="1" s="138">
      <c r="A52" s="192" t="inlineStr">
        <is>
          <t>SS Tax — Employee (6.2%)</t>
        </is>
      </c>
      <c r="B52" s="198" t="n">
        <v>6980.16</v>
      </c>
      <c r="C52" s="198" t="n">
        <v>6980.16</v>
      </c>
      <c r="D52" s="198" t="n">
        <v>6980.16</v>
      </c>
      <c r="E52" s="198" t="n">
        <v>6980.16</v>
      </c>
      <c r="F52" s="198" t="n">
        <v>27920.64</v>
      </c>
      <c r="G52" s="193" t="inlineStr">
        <is>
          <t>W-2 Box 4 total</t>
        </is>
      </c>
      <c r="H52" s="194" t="n"/>
      <c r="I52" s="194" t="n"/>
    </row>
    <row r="53" ht="18" customHeight="1" s="138">
      <c r="A53" s="199" t="inlineStr">
        <is>
          <t>SS Tax — Employer (6.2%)</t>
        </is>
      </c>
      <c r="B53" s="200" t="n">
        <v>6980.16</v>
      </c>
      <c r="C53" s="200" t="n">
        <v>6980.16</v>
      </c>
      <c r="D53" s="200" t="n">
        <v>6980.16</v>
      </c>
      <c r="E53" s="200" t="n">
        <v>6980.16</v>
      </c>
      <c r="F53" s="200" t="n">
        <v>27920.64</v>
      </c>
      <c r="G53" s="197" t="inlineStr">
        <is>
          <t>Employer match = same</t>
        </is>
      </c>
      <c r="H53" s="194" t="n"/>
      <c r="I53" s="194" t="n"/>
    </row>
    <row r="54" ht="18" customHeight="1" s="138">
      <c r="A54" s="192" t="inlineStr">
        <is>
          <t>Medicare Tax — Employee</t>
        </is>
      </c>
      <c r="B54" s="198" t="n">
        <v>1632.46</v>
      </c>
      <c r="C54" s="198" t="n">
        <v>1632.46</v>
      </c>
      <c r="D54" s="198" t="n">
        <v>1632.46</v>
      </c>
      <c r="E54" s="198" t="n">
        <v>1632.46</v>
      </c>
      <c r="F54" s="198" t="n">
        <v>6529.84</v>
      </c>
      <c r="G54" s="193" t="inlineStr">
        <is>
          <t>W-2 Box 6 total</t>
        </is>
      </c>
      <c r="H54" s="194" t="n"/>
      <c r="I54" s="194" t="n"/>
    </row>
    <row r="55" ht="18" customHeight="1" s="138">
      <c r="A55" s="199" t="inlineStr">
        <is>
          <t>Medicare Tax — Employer</t>
        </is>
      </c>
      <c r="B55" s="200" t="n">
        <v>1632.46</v>
      </c>
      <c r="C55" s="200" t="n">
        <v>1632.46</v>
      </c>
      <c r="D55" s="200" t="n">
        <v>1632.46</v>
      </c>
      <c r="E55" s="200" t="n">
        <v>1632.46</v>
      </c>
      <c r="F55" s="200" t="n">
        <v>6529.84</v>
      </c>
      <c r="G55" s="197" t="inlineStr">
        <is>
          <t>Employer match = same</t>
        </is>
      </c>
      <c r="H55" s="194" t="n"/>
      <c r="I55" s="194" t="n"/>
    </row>
    <row r="56" ht="18" customHeight="1" s="138">
      <c r="A56" s="201" t="inlineStr">
        <is>
          <t>Total 941 Deposits (Est)</t>
        </is>
      </c>
      <c r="B56" s="198" t="n">
        <v>28121.8225</v>
      </c>
      <c r="C56" s="198" t="n">
        <v>28121.8225</v>
      </c>
      <c r="D56" s="198" t="n">
        <v>28121.8225</v>
      </c>
      <c r="E56" s="198" t="n">
        <v>28121.8225</v>
      </c>
      <c r="F56" s="229" t="n">
        <v>112487.29</v>
      </c>
      <c r="G56" s="193" t="inlineStr">
        <is>
          <t>Fed W/H + all FICA</t>
        </is>
      </c>
      <c r="H56" s="194" t="n"/>
      <c r="I56" s="194" t="n"/>
    </row>
  </sheetData>
  <mergeCells count="34">
    <mergeCell ref="C36:I36"/>
    <mergeCell ref="A41:I41"/>
    <mergeCell ref="B25:I25"/>
    <mergeCell ref="C39:I39"/>
    <mergeCell ref="G53:I53"/>
    <mergeCell ref="C32:I32"/>
    <mergeCell ref="C38:I38"/>
    <mergeCell ref="B27:I27"/>
    <mergeCell ref="C37:I37"/>
    <mergeCell ref="A2:I2"/>
    <mergeCell ref="C34:I34"/>
    <mergeCell ref="G55:I55"/>
    <mergeCell ref="C42:I42"/>
    <mergeCell ref="A22:I22"/>
    <mergeCell ref="B23:I23"/>
    <mergeCell ref="C33:I33"/>
    <mergeCell ref="G51:I51"/>
    <mergeCell ref="A29:I29"/>
    <mergeCell ref="C45:I45"/>
    <mergeCell ref="G54:I54"/>
    <mergeCell ref="G50:I50"/>
    <mergeCell ref="C35:I35"/>
    <mergeCell ref="A31:I31"/>
    <mergeCell ref="G56:I56"/>
    <mergeCell ref="G52:I52"/>
    <mergeCell ref="A48:I48"/>
    <mergeCell ref="A30:I30"/>
    <mergeCell ref="A15:I15"/>
    <mergeCell ref="C44:I44"/>
    <mergeCell ref="B24:I24"/>
    <mergeCell ref="A1:I1"/>
    <mergeCell ref="C43:I43"/>
    <mergeCell ref="C46:I46"/>
    <mergeCell ref="B26:I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37" min="1" max="2"/>
    <col width="16" customWidth="1" style="137" min="3" max="5"/>
    <col width="14" customWidth="1" style="137" min="6" max="6"/>
    <col width="40" customWidth="1" style="137" min="7" max="7"/>
  </cols>
  <sheetData>
    <row r="1" ht="27.75" customHeight="1" s="138">
      <c r="A1" s="212" t="inlineStr">
        <is>
          <t>IDIQ / IDENTITY IQ — 2025 COMMISSION DETAIL  (ASAP Business Account)</t>
        </is>
      </c>
    </row>
    <row r="2" ht="18" customHeight="1" s="138">
      <c r="A2" s="213" t="inlineStr">
        <is>
          <t>Source: ASAP Credit Repair Wells Fargo Business Account  |  All amounts go into S-Corp revenue</t>
        </is>
      </c>
    </row>
    <row r="3" ht="7.5" customHeight="1" s="138"/>
    <row r="4" ht="36" customHeight="1" s="138">
      <c r="A4" s="214" t="inlineStr">
        <is>
          <t>Month</t>
        </is>
      </c>
      <c r="B4" s="214" t="inlineStr">
        <is>
          <t>Date</t>
        </is>
      </c>
      <c r="C4" s="214" t="inlineStr">
        <is>
          <t>Identity Intelli
(Main Payment)</t>
        </is>
      </c>
      <c r="D4" s="214" t="inlineStr">
        <is>
          <t>Identity IQ
Residual</t>
        </is>
      </c>
      <c r="E4" s="214" t="inlineStr">
        <is>
          <t>IDIQGrp
(Oct–Dec)</t>
        </is>
      </c>
      <c r="F4" s="214" t="inlineStr">
        <is>
          <t>Month Total</t>
        </is>
      </c>
      <c r="G4" s="214" t="inlineStr">
        <is>
          <t>Notes</t>
        </is>
      </c>
    </row>
    <row r="5" ht="18" customHeight="1" s="138">
      <c r="A5" s="234" t="inlineStr">
        <is>
          <t>January</t>
        </is>
      </c>
      <c r="B5" s="235" t="inlineStr">
        <is>
          <t>Jan 09</t>
        </is>
      </c>
      <c r="C5" s="236" t="n">
        <v>4200</v>
      </c>
      <c r="D5" s="236" t="n">
        <v>264.99</v>
      </c>
      <c r="E5" s="236" t="n">
        <v>0</v>
      </c>
      <c r="F5" s="237">
        <f>C5+D5+E5</f>
        <v/>
      </c>
      <c r="G5" s="234" t="inlineStr">
        <is>
          <t>Identity Intelli Payment 2640</t>
        </is>
      </c>
    </row>
    <row r="6" ht="18" customHeight="1" s="138">
      <c r="A6" s="199" t="inlineStr">
        <is>
          <t>February</t>
        </is>
      </c>
      <c r="B6" s="238" t="inlineStr">
        <is>
          <t>Feb 14</t>
        </is>
      </c>
      <c r="C6" s="200" t="n">
        <v>6125</v>
      </c>
      <c r="D6" s="200" t="n">
        <v>251.02</v>
      </c>
      <c r="E6" s="200" t="n">
        <v>0</v>
      </c>
      <c r="F6" s="230">
        <f>C6+D6+E6</f>
        <v/>
      </c>
      <c r="G6" s="199" t="inlineStr">
        <is>
          <t>Identity Intelli Payment 2640</t>
        </is>
      </c>
    </row>
    <row r="7" ht="18" customHeight="1" s="138">
      <c r="A7" s="234" t="inlineStr">
        <is>
          <t>March</t>
        </is>
      </c>
      <c r="B7" s="235" t="inlineStr">
        <is>
          <t>Mar 14</t>
        </is>
      </c>
      <c r="C7" s="236" t="n">
        <v>6965</v>
      </c>
      <c r="D7" s="236" t="n">
        <v>222.88</v>
      </c>
      <c r="E7" s="236" t="n">
        <v>0</v>
      </c>
      <c r="F7" s="237">
        <f>C7+D7+E7</f>
        <v/>
      </c>
      <c r="G7" s="234" t="inlineStr">
        <is>
          <t>Identity Intelli Payment 2640</t>
        </is>
      </c>
    </row>
    <row r="8" ht="18" customHeight="1" s="138">
      <c r="A8" s="199" t="inlineStr">
        <is>
          <t>April</t>
        </is>
      </c>
      <c r="B8" s="238" t="inlineStr">
        <is>
          <t>Apr 10</t>
        </is>
      </c>
      <c r="C8" s="200" t="n">
        <v>9520</v>
      </c>
      <c r="D8" s="200" t="n">
        <v>275.81</v>
      </c>
      <c r="E8" s="200" t="n">
        <v>0</v>
      </c>
      <c r="F8" s="230">
        <f>C8+D8+E8</f>
        <v/>
      </c>
      <c r="G8" s="199" t="inlineStr">
        <is>
          <t>Identity Intelli Payment 2640</t>
        </is>
      </c>
    </row>
    <row r="9" ht="18" customHeight="1" s="138">
      <c r="A9" s="234" t="inlineStr">
        <is>
          <t>May</t>
        </is>
      </c>
      <c r="B9" s="235" t="inlineStr">
        <is>
          <t>May 08</t>
        </is>
      </c>
      <c r="C9" s="236" t="n">
        <v>9765</v>
      </c>
      <c r="D9" s="236" t="n">
        <v>240.5</v>
      </c>
      <c r="E9" s="236" t="n">
        <v>0</v>
      </c>
      <c r="F9" s="237">
        <f>C9+D9+E9</f>
        <v/>
      </c>
      <c r="G9" s="234" t="inlineStr">
        <is>
          <t>Identity Intelli Payment 2640</t>
        </is>
      </c>
    </row>
    <row r="10" ht="18" customHeight="1" s="138">
      <c r="A10" s="199" t="inlineStr">
        <is>
          <t>June</t>
        </is>
      </c>
      <c r="B10" s="238" t="inlineStr">
        <is>
          <t>Jun 13</t>
        </is>
      </c>
      <c r="C10" s="200" t="n">
        <v>9205</v>
      </c>
      <c r="D10" s="200" t="n">
        <v>244.92</v>
      </c>
      <c r="E10" s="200" t="n">
        <v>0</v>
      </c>
      <c r="F10" s="230">
        <f>C10+D10+E10</f>
        <v/>
      </c>
      <c r="G10" s="199" t="inlineStr">
        <is>
          <t>Identity Intelli Payment 2640</t>
        </is>
      </c>
    </row>
    <row r="11" ht="18" customHeight="1" s="138">
      <c r="A11" s="234" t="inlineStr">
        <is>
          <t>July</t>
        </is>
      </c>
      <c r="B11" s="235" t="inlineStr">
        <is>
          <t>Jul 10</t>
        </is>
      </c>
      <c r="C11" s="236" t="n">
        <v>10360</v>
      </c>
      <c r="D11" s="236" t="n">
        <v>211.38</v>
      </c>
      <c r="E11" s="236" t="n">
        <v>0</v>
      </c>
      <c r="F11" s="237">
        <f>C11+D11+E11</f>
        <v/>
      </c>
      <c r="G11" s="234" t="inlineStr">
        <is>
          <t>Identity Intelli Payment 2640</t>
        </is>
      </c>
    </row>
    <row r="12" ht="18" customHeight="1" s="138">
      <c r="A12" s="199" t="inlineStr">
        <is>
          <t>August</t>
        </is>
      </c>
      <c r="B12" s="238" t="inlineStr">
        <is>
          <t>Aug 07</t>
        </is>
      </c>
      <c r="C12" s="200" t="n">
        <v>9205</v>
      </c>
      <c r="D12" s="200" t="n">
        <v>221.81</v>
      </c>
      <c r="E12" s="200" t="n">
        <v>0</v>
      </c>
      <c r="F12" s="230">
        <f>C12+D12+E12</f>
        <v/>
      </c>
      <c r="G12" s="199" t="inlineStr">
        <is>
          <t>Identity Intelli Payment 2640</t>
        </is>
      </c>
    </row>
    <row r="13" ht="18" customHeight="1" s="138">
      <c r="A13" s="234" t="inlineStr">
        <is>
          <t>September</t>
        </is>
      </c>
      <c r="B13" s="235" t="inlineStr">
        <is>
          <t>Sep 12</t>
        </is>
      </c>
      <c r="C13" s="236" t="n">
        <v>7455</v>
      </c>
      <c r="D13" s="236" t="n">
        <v>224.02</v>
      </c>
      <c r="E13" s="236" t="n">
        <v>0</v>
      </c>
      <c r="F13" s="237">
        <f>C13+D13+E13</f>
        <v/>
      </c>
      <c r="G13" s="234" t="inlineStr">
        <is>
          <t>Identity Intelli Payment 2640</t>
        </is>
      </c>
    </row>
    <row r="14" ht="18" customHeight="1" s="138">
      <c r="A14" s="199" t="inlineStr">
        <is>
          <t>October</t>
        </is>
      </c>
      <c r="B14" s="238" t="inlineStr">
        <is>
          <t>Oct 10</t>
        </is>
      </c>
      <c r="C14" s="200" t="n">
        <v>0</v>
      </c>
      <c r="D14" s="200" t="n">
        <v>212.31</v>
      </c>
      <c r="E14" s="200" t="n">
        <v>6545</v>
      </c>
      <c r="F14" s="230">
        <f>C14+D14+E14</f>
        <v/>
      </c>
      <c r="G14" s="199" t="inlineStr">
        <is>
          <t>Rebrand → IDIQGrp Payment 2640</t>
        </is>
      </c>
    </row>
    <row r="15" ht="18" customHeight="1" s="138">
      <c r="A15" s="234" t="inlineStr">
        <is>
          <t>November</t>
        </is>
      </c>
      <c r="B15" s="235" t="inlineStr">
        <is>
          <t>Nov 13</t>
        </is>
      </c>
      <c r="C15" s="236" t="n">
        <v>0</v>
      </c>
      <c r="D15" s="236" t="n">
        <v>222.44</v>
      </c>
      <c r="E15" s="236" t="n">
        <v>6160</v>
      </c>
      <c r="F15" s="237">
        <f>C15+D15+E15</f>
        <v/>
      </c>
      <c r="G15" s="234" t="inlineStr">
        <is>
          <t>IDIQGrp Payment 2640</t>
        </is>
      </c>
    </row>
    <row r="16" ht="18" customHeight="1" s="138">
      <c r="A16" s="199" t="inlineStr">
        <is>
          <t>December</t>
        </is>
      </c>
      <c r="B16" s="238" t="inlineStr">
        <is>
          <t>Dec 12</t>
        </is>
      </c>
      <c r="C16" s="200" t="n">
        <v>0</v>
      </c>
      <c r="D16" s="200" t="n">
        <v>198.41</v>
      </c>
      <c r="E16" s="200" t="n">
        <v>5075</v>
      </c>
      <c r="F16" s="230">
        <f>C16+D16+E16</f>
        <v/>
      </c>
      <c r="G16" s="199" t="inlineStr">
        <is>
          <t>IDIQGrp Payment 2640</t>
        </is>
      </c>
    </row>
    <row r="17" ht="19.5" customHeight="1" s="138">
      <c r="A17" s="239" t="inlineStr">
        <is>
          <t>TOTAL 2025</t>
        </is>
      </c>
      <c r="B17" s="240" t="n"/>
      <c r="C17" s="241">
        <f>SUM(C5:C16)</f>
        <v/>
      </c>
      <c r="D17" s="241">
        <f>SUM(D5:D16)</f>
        <v/>
      </c>
      <c r="E17" s="241">
        <f>SUM(E5:E16)</f>
        <v/>
      </c>
      <c r="F17" s="241">
        <f>SUM(F5:F16)</f>
        <v/>
      </c>
      <c r="G17" s="239" t="inlineStr">
        <is>
          <t>Total = $93,370.49 into ASAP S-Corp</t>
        </is>
      </c>
    </row>
    <row r="18" ht="7.5" customHeight="1" s="138"/>
    <row r="19" ht="19.5" customHeight="1" s="138">
      <c r="A19" s="242" t="inlineStr">
        <is>
          <t>AMOUNTS TRANSFERRED FROM ASAP → JOE PERSONALLY  (Pass-through / Owner Draws — see CPA note)</t>
        </is>
      </c>
    </row>
    <row r="20" ht="18" customHeight="1" s="138">
      <c r="A20" s="233" t="inlineStr">
        <is>
          <t>Date</t>
        </is>
      </c>
      <c r="B20" s="233" t="inlineStr">
        <is>
          <t>Bank</t>
        </is>
      </c>
      <c r="C20" s="233" t="inlineStr">
        <is>
          <t>Description</t>
        </is>
      </c>
      <c r="D20" s="233" t="inlineStr">
        <is>
          <t>Amount</t>
        </is>
      </c>
      <c r="E20" s="233" t="inlineStr">
        <is>
          <t>Category</t>
        </is>
      </c>
      <c r="F20" s="233" t="n"/>
      <c r="G20" s="233" t="inlineStr">
        <is>
          <t>Notes</t>
        </is>
      </c>
    </row>
    <row r="21" ht="18" customHeight="1" s="138">
      <c r="A21" s="235" t="inlineStr">
        <is>
          <t>Jul 10</t>
        </is>
      </c>
      <c r="B21" s="234" t="inlineStr">
        <is>
          <t>Wells Fargo</t>
        </is>
      </c>
      <c r="C21" s="234" t="inlineStr">
        <is>
          <t>Online Transfer to Mahlow J - Idiq Money</t>
        </is>
      </c>
      <c r="D21" s="243" t="n">
        <v>10000</v>
      </c>
      <c r="E21" s="234" t="inlineStr">
        <is>
          <t>Other Operating Expenses</t>
        </is>
      </c>
      <c r="G21" s="244" t="inlineStr">
        <is>
          <t>CPA: Verify if owner draw or wages</t>
        </is>
      </c>
    </row>
    <row r="22" ht="18" customHeight="1" s="138">
      <c r="A22" s="238" t="inlineStr">
        <is>
          <t>Aug 08</t>
        </is>
      </c>
      <c r="B22" s="199" t="inlineStr">
        <is>
          <t>Wells Fargo</t>
        </is>
      </c>
      <c r="C22" s="199" t="inlineStr">
        <is>
          <t>Online Transfer to Mahlow J - 1/2 Idiq Commission</t>
        </is>
      </c>
      <c r="D22" s="245" t="n">
        <v>4500</v>
      </c>
      <c r="E22" s="199" t="inlineStr">
        <is>
          <t>Other Operating Expenses</t>
        </is>
      </c>
      <c r="G22" s="246" t="inlineStr">
        <is>
          <t>CPA: Verify if owner draw or wages</t>
        </is>
      </c>
    </row>
    <row r="23" ht="18" customHeight="1" s="138">
      <c r="A23" s="235" t="inlineStr">
        <is>
          <t>Sep 12</t>
        </is>
      </c>
      <c r="B23" s="234" t="inlineStr">
        <is>
          <t>Wells Fargo</t>
        </is>
      </c>
      <c r="C23" s="234" t="inlineStr">
        <is>
          <t>Online Transfer to Mahlow J - Idiq</t>
        </is>
      </c>
      <c r="D23" s="243" t="n">
        <v>3500</v>
      </c>
      <c r="E23" s="234" t="inlineStr">
        <is>
          <t>Other Operating Expenses</t>
        </is>
      </c>
      <c r="G23" s="244" t="inlineStr">
        <is>
          <t>CPA: Verify if owner draw or wages</t>
        </is>
      </c>
    </row>
    <row r="24" ht="34.5" customHeight="1" s="138">
      <c r="A24" s="247" t="inlineStr">
        <is>
          <t>Total Transferred to Joe</t>
        </is>
      </c>
      <c r="B24" s="248" t="n"/>
      <c r="C24" s="248" t="n"/>
      <c r="D24" s="249">
        <f>SUM(D21:D23)</f>
        <v/>
      </c>
      <c r="E24" s="248" t="n"/>
      <c r="F24" s="248" t="n"/>
      <c r="G24" s="250" t="inlineStr">
        <is>
          <t>NOT a separate income stream — comes from ASAP S-Corp revenue</t>
        </is>
      </c>
    </row>
    <row r="25" ht="7.5" customHeight="1" s="138"/>
    <row r="26" ht="49.5" customHeight="1" s="138">
      <c r="A26" s="251" t="inlineStr">
        <is>
          <t>⚠️  CPA NOTE: All IDIQ/IDIQGrp payments total $93,370.49 deposited into ASAP Credit Repair LLC business account. This is already captured in S-Corp revenue. The $18,000 transferred to Joe is an owner draw, NOT separate personal income — do not double-count.</t>
        </is>
      </c>
      <c r="B26" s="194" t="n"/>
      <c r="C26" s="194" t="n"/>
      <c r="D26" s="194" t="n"/>
      <c r="E26" s="194" t="n"/>
      <c r="F26" s="194" t="n"/>
      <c r="G26" s="194" t="n"/>
    </row>
  </sheetData>
  <mergeCells count="4">
    <mergeCell ref="A26:G26"/>
    <mergeCell ref="A19:G19"/>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1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37" min="1" max="1"/>
    <col width="40" customWidth="1" style="137" min="2" max="2"/>
    <col width="16" customWidth="1" style="137" min="3" max="3"/>
    <col width="8" customWidth="1" style="137" min="4" max="4"/>
    <col width="20" customWidth="1" style="137" min="5" max="5"/>
    <col width="5" customWidth="1" style="137" min="6" max="6"/>
    <col width="38" customWidth="1" style="137" min="7" max="7"/>
  </cols>
  <sheetData>
    <row r="1" ht="25.5" customHeight="1" s="138">
      <c r="A1" s="252" t="inlineStr">
        <is>
          <t>ASAP CREDIT REPAIR LLC — Wells Fargo Business Checking  |  Acct ...1116  |  2025 Monthly Summary</t>
        </is>
      </c>
    </row>
    <row r="2" ht="18" customHeight="1" s="138">
      <c r="A2" s="228" t="inlineStr">
        <is>
          <t>Green = confirmed from uploaded statement  |  Orange = still needed  |  Balance chain must be unbroken for CPA reconciliation</t>
        </is>
      </c>
    </row>
    <row r="3" ht="7.5" customHeight="1" s="138"/>
    <row r="4" ht="19.5" customHeight="1" s="138">
      <c r="A4" s="214" t="inlineStr">
        <is>
          <t>Month</t>
        </is>
      </c>
      <c r="B4" s="214" t="inlineStr">
        <is>
          <t>Statement Date</t>
        </is>
      </c>
      <c r="C4" s="214" t="inlineStr">
        <is>
          <t>Beg Balance</t>
        </is>
      </c>
      <c r="D4" s="214" t="inlineStr">
        <is>
          <t>Deposits</t>
        </is>
      </c>
      <c r="E4" s="214" t="inlineStr">
        <is>
          <t>Withdrawals</t>
        </is>
      </c>
      <c r="F4" s="214" t="inlineStr">
        <is>
          <t>End Balance</t>
        </is>
      </c>
      <c r="G4" s="214" t="inlineStr">
        <is>
          <t>Status</t>
        </is>
      </c>
    </row>
    <row r="5" ht="18" customHeight="1" s="138">
      <c r="A5" s="201" t="inlineStr">
        <is>
          <t>January 2025</t>
        </is>
      </c>
      <c r="B5" s="253" t="inlineStr">
        <is>
          <t>Jan 31, 2025</t>
        </is>
      </c>
      <c r="C5" s="198" t="n">
        <v>97384.56</v>
      </c>
      <c r="D5" s="198" t="n">
        <v>70632.14</v>
      </c>
      <c r="E5" s="198" t="n">
        <v>71004.36</v>
      </c>
      <c r="F5" s="229" t="n">
        <v>97012.34</v>
      </c>
      <c r="G5" s="254" t="inlineStr">
        <is>
          <t>✅ CONFIRMED</t>
        </is>
      </c>
    </row>
    <row r="6" ht="18" customHeight="1" s="138">
      <c r="A6" s="201" t="inlineStr">
        <is>
          <t>February 2025</t>
        </is>
      </c>
      <c r="B6" s="253" t="inlineStr">
        <is>
          <t>Feb 28, 2025</t>
        </is>
      </c>
      <c r="C6" s="198" t="n">
        <v>97012.34</v>
      </c>
      <c r="D6" s="198" t="n">
        <v>86088.94</v>
      </c>
      <c r="E6" s="198" t="n">
        <v>90528.02</v>
      </c>
      <c r="F6" s="229" t="n">
        <v>92573.25999999999</v>
      </c>
      <c r="G6" s="254" t="inlineStr">
        <is>
          <t>✅ CONFIRMED</t>
        </is>
      </c>
    </row>
    <row r="7" ht="18" customHeight="1" s="138">
      <c r="A7" s="201" t="inlineStr">
        <is>
          <t>March 2025</t>
        </is>
      </c>
      <c r="B7" s="253" t="inlineStr">
        <is>
          <t>Mar 31, 2025</t>
        </is>
      </c>
      <c r="C7" s="198" t="n">
        <v>92573.25999999999</v>
      </c>
      <c r="D7" s="198" t="n">
        <v>117074.06</v>
      </c>
      <c r="E7" s="198" t="n">
        <v>114004.33</v>
      </c>
      <c r="F7" s="229" t="n">
        <v>95642.99000000001</v>
      </c>
      <c r="G7" s="254" t="inlineStr">
        <is>
          <t>✅ CONFIRMED</t>
        </is>
      </c>
    </row>
    <row r="8" ht="18" customHeight="1" s="138">
      <c r="A8" s="201" t="inlineStr">
        <is>
          <t>April 2025</t>
        </is>
      </c>
      <c r="B8" s="253" t="inlineStr">
        <is>
          <t>Apr 30, 2025</t>
        </is>
      </c>
      <c r="C8" s="198" t="n">
        <v>95642.99000000001</v>
      </c>
      <c r="D8" s="198" t="n">
        <v>132621.53</v>
      </c>
      <c r="E8" s="198" t="n">
        <v>99872.83</v>
      </c>
      <c r="F8" s="229" t="n">
        <v>128391.69</v>
      </c>
      <c r="G8" s="254" t="inlineStr">
        <is>
          <t>✅ CONFIRMED</t>
        </is>
      </c>
    </row>
    <row r="9" ht="18" customHeight="1" s="138">
      <c r="A9" s="201" t="inlineStr">
        <is>
          <t>May 2025</t>
        </is>
      </c>
      <c r="B9" s="253" t="inlineStr">
        <is>
          <t>May 31, 2025</t>
        </is>
      </c>
      <c r="C9" s="198" t="n">
        <v>128391.69</v>
      </c>
      <c r="D9" s="198" t="n">
        <v>113567.21</v>
      </c>
      <c r="E9" s="198" t="n">
        <v>112006.24</v>
      </c>
      <c r="F9" s="229" t="n">
        <v>129952.66</v>
      </c>
      <c r="G9" s="254" t="inlineStr">
        <is>
          <t>✅ CONFIRMED</t>
        </is>
      </c>
    </row>
    <row r="10" ht="18" customHeight="1" s="138">
      <c r="A10" s="255" t="inlineStr">
        <is>
          <t>June 2025</t>
        </is>
      </c>
      <c r="B10" s="256" t="inlineStr">
        <is>
          <t>Jun 30, 2025</t>
        </is>
      </c>
      <c r="C10" s="257" t="n">
        <v>129952.66</v>
      </c>
      <c r="D10" s="257" t="n">
        <v>114677.14</v>
      </c>
      <c r="E10" s="257" t="n">
        <v>100174.46</v>
      </c>
      <c r="F10" s="258" t="n">
        <v>144455.34</v>
      </c>
      <c r="G10" s="259" t="inlineStr">
        <is>
          <t>✅ CONFIRMED</t>
        </is>
      </c>
    </row>
    <row r="11" ht="18" customHeight="1" s="138">
      <c r="A11" s="255" t="inlineStr">
        <is>
          <t>July 2025</t>
        </is>
      </c>
      <c r="B11" s="256" t="inlineStr">
        <is>
          <t>Jul 31, 2025</t>
        </is>
      </c>
      <c r="C11" s="257" t="n">
        <v>144455.34</v>
      </c>
      <c r="D11" s="257" t="n">
        <v>117934.54</v>
      </c>
      <c r="E11" s="257" t="n">
        <v>115840.04</v>
      </c>
      <c r="F11" s="258" t="n">
        <v>146549.84</v>
      </c>
      <c r="G11" s="259" t="inlineStr">
        <is>
          <t>✅ CONFIRMED</t>
        </is>
      </c>
    </row>
    <row r="12" ht="18" customHeight="1" s="138">
      <c r="A12" s="255" t="inlineStr">
        <is>
          <t>August 2025</t>
        </is>
      </c>
      <c r="B12" s="256" t="inlineStr">
        <is>
          <t>Aug 31, 2025</t>
        </is>
      </c>
      <c r="C12" s="257" t="n">
        <v>146549.84</v>
      </c>
      <c r="D12" s="257" t="n">
        <v>98984.37</v>
      </c>
      <c r="E12" s="257" t="n">
        <v>124420.1</v>
      </c>
      <c r="F12" s="258" t="n">
        <v>121114.11</v>
      </c>
      <c r="G12" s="259" t="inlineStr">
        <is>
          <t>✅ CONFIRMED</t>
        </is>
      </c>
    </row>
    <row r="13" ht="18" customHeight="1" s="138">
      <c r="A13" s="255" t="inlineStr">
        <is>
          <t>September 2025</t>
        </is>
      </c>
      <c r="B13" s="256" t="inlineStr">
        <is>
          <t>Sep 30, 2025</t>
        </is>
      </c>
      <c r="C13" s="257" t="n">
        <v>121114.11</v>
      </c>
      <c r="D13" s="257" t="n">
        <v>101222.63</v>
      </c>
      <c r="E13" s="257" t="n">
        <v>108752.2</v>
      </c>
      <c r="F13" s="258" t="n">
        <v>113584.54</v>
      </c>
      <c r="G13" s="259" t="inlineStr">
        <is>
          <t>✅ CONFIRMED</t>
        </is>
      </c>
    </row>
    <row r="14" ht="18" customHeight="1" s="138">
      <c r="A14" s="255" t="inlineStr">
        <is>
          <t>October 2025</t>
        </is>
      </c>
      <c r="B14" s="256" t="inlineStr">
        <is>
          <t>Oct 31, 2025</t>
        </is>
      </c>
      <c r="C14" s="257" t="n">
        <v>113584.54</v>
      </c>
      <c r="D14" s="257" t="n">
        <v>102967.82</v>
      </c>
      <c r="E14" s="257" t="n">
        <v>111193.15</v>
      </c>
      <c r="F14" s="258" t="n">
        <v>105359.21</v>
      </c>
      <c r="G14" s="259" t="inlineStr">
        <is>
          <t>✅ CONFIRMED</t>
        </is>
      </c>
    </row>
    <row r="15" ht="18" customHeight="1" s="138">
      <c r="A15" s="255" t="inlineStr">
        <is>
          <t>November 2025</t>
        </is>
      </c>
      <c r="B15" s="256" t="inlineStr">
        <is>
          <t>Nov 30, 2025</t>
        </is>
      </c>
      <c r="C15" s="257" t="n">
        <v>105359.21</v>
      </c>
      <c r="D15" s="257" t="n">
        <v>81775.55</v>
      </c>
      <c r="E15" s="257" t="n">
        <v>94107.78999999999</v>
      </c>
      <c r="F15" s="258" t="n">
        <v>93026.97</v>
      </c>
      <c r="G15" s="259" t="inlineStr">
        <is>
          <t>✅ CONFIRMED</t>
        </is>
      </c>
    </row>
    <row r="16" ht="18" customHeight="1" s="138">
      <c r="A16" s="255" t="inlineStr">
        <is>
          <t>December 2025</t>
        </is>
      </c>
      <c r="B16" s="256" t="inlineStr">
        <is>
          <t>Dec 31, 2025</t>
        </is>
      </c>
      <c r="C16" s="257" t="n">
        <v>93026.97</v>
      </c>
      <c r="D16" s="257" t="n">
        <v>96046.06</v>
      </c>
      <c r="E16" s="257" t="n">
        <v>101697.52</v>
      </c>
      <c r="F16" s="258" t="n">
        <v>87375.50999999999</v>
      </c>
      <c r="G16" s="259" t="inlineStr">
        <is>
          <t>✅ CONFIRMED</t>
        </is>
      </c>
    </row>
    <row r="17" ht="7.5" customHeight="1" s="138"/>
    <row r="18" ht="34.5" customHeight="1" s="138">
      <c r="A18" s="239" t="inlineStr">
        <is>
          <t>Q1 TOTAL  (Jan–Mar)</t>
        </is>
      </c>
      <c r="B18" s="240" t="n"/>
      <c r="C18" s="240" t="n"/>
      <c r="D18" s="241" t="n">
        <v>273795.14</v>
      </c>
      <c r="E18" s="241" t="n">
        <v>275536.71</v>
      </c>
      <c r="F18" s="241" t="n">
        <v>95642.99000000001</v>
      </c>
      <c r="G18" s="265" t="inlineStr">
        <is>
          <t>Net Q1: -$1,741.57</t>
        </is>
      </c>
    </row>
    <row r="19" ht="19.5" customHeight="1" s="138">
      <c r="A19" s="266" t="inlineStr">
        <is>
          <t>Q2 TOTAL  (Apr–Jun)</t>
        </is>
      </c>
      <c r="B19" s="240" t="n"/>
      <c r="C19" s="240" t="n"/>
      <c r="D19" s="267" t="n">
        <v>360865.88</v>
      </c>
      <c r="E19" s="267" t="n">
        <v>312053.53</v>
      </c>
      <c r="F19" s="267" t="n">
        <v>144455.34</v>
      </c>
      <c r="G19" s="268" t="inlineStr">
        <is>
          <t>Net Q2: +$48,812.35</t>
        </is>
      </c>
    </row>
    <row r="20" ht="19.5" customHeight="1" s="138">
      <c r="A20" s="213" t="inlineStr">
        <is>
          <t>KEY TRANSACTIONS NOTED IN Q1 STATEMENTS — Items for CPA Attention</t>
        </is>
      </c>
    </row>
    <row r="21" ht="18" customHeight="1" s="138">
      <c r="A21" s="233" t="inlineStr">
        <is>
          <t>Date</t>
        </is>
      </c>
      <c r="B21" s="233" t="inlineStr">
        <is>
          <t>Description</t>
        </is>
      </c>
      <c r="C21" s="233" t="inlineStr">
        <is>
          <t>Amount</t>
        </is>
      </c>
      <c r="D21" s="233" t="inlineStr">
        <is>
          <t>In/Out</t>
        </is>
      </c>
      <c r="E21" s="233" t="inlineStr">
        <is>
          <t>Category</t>
        </is>
      </c>
      <c r="F21" s="233" t="inlineStr">
        <is>
          <t>Notes</t>
        </is>
      </c>
    </row>
    <row r="22" ht="18" customHeight="1" s="138">
      <c r="A22" s="253" t="inlineStr">
        <is>
          <t>Jan 9</t>
        </is>
      </c>
      <c r="B22" s="192" t="inlineStr">
        <is>
          <t>Identity Intelli Payment 2640</t>
        </is>
      </c>
      <c r="C22" s="269" t="n">
        <v>4200</v>
      </c>
      <c r="D22" s="254" t="inlineStr">
        <is>
          <t>IN</t>
        </is>
      </c>
      <c r="E22" s="192" t="inlineStr">
        <is>
          <t>IDIQ Revenue</t>
        </is>
      </c>
      <c r="F22" s="270" t="inlineStr">
        <is>
          <t>Jan IDIQ — lowest month of year</t>
        </is>
      </c>
    </row>
    <row r="23" ht="18" customHeight="1" s="138">
      <c r="A23" s="238" t="inlineStr">
        <is>
          <t>Jan 14</t>
        </is>
      </c>
      <c r="B23" s="199" t="inlineStr">
        <is>
          <t>Paychex Payroll + EIB Invoice (run 1)</t>
        </is>
      </c>
      <c r="C23" s="245" t="n">
        <v>22754.07</v>
      </c>
      <c r="D23" s="271" t="inlineStr">
        <is>
          <t>OUT</t>
        </is>
      </c>
      <c r="E23" s="199" t="inlineStr">
        <is>
          <t>Payroll</t>
        </is>
      </c>
      <c r="F23" s="272" t="inlineStr">
        <is>
          <t>$4,000 + $18,754.07</t>
        </is>
      </c>
    </row>
    <row r="24" ht="18" customHeight="1" s="138">
      <c r="A24" s="235" t="inlineStr">
        <is>
          <t>Jan 30</t>
        </is>
      </c>
      <c r="B24" s="234" t="inlineStr">
        <is>
          <t>Paychex Payroll + EIB Invoice (run 2)</t>
        </is>
      </c>
      <c r="C24" s="243" t="n">
        <v>21657.69</v>
      </c>
      <c r="D24" s="273" t="inlineStr">
        <is>
          <t>OUT</t>
        </is>
      </c>
      <c r="E24" s="234" t="inlineStr">
        <is>
          <t>Payroll</t>
        </is>
      </c>
      <c r="F24" s="274" t="inlineStr">
        <is>
          <t>$4,000 + $17,657.69</t>
        </is>
      </c>
    </row>
    <row r="25" ht="18" customHeight="1" s="138">
      <c r="A25" s="238" t="inlineStr">
        <is>
          <t>Jan 30</t>
        </is>
      </c>
      <c r="B25" s="199" t="inlineStr">
        <is>
          <t>WF Direct Pay — Suite 555 Affiliate Payout</t>
        </is>
      </c>
      <c r="C25" s="245" t="n">
        <v>5000</v>
      </c>
      <c r="D25" s="271" t="inlineStr">
        <is>
          <t>OUT</t>
        </is>
      </c>
      <c r="E25" s="199" t="inlineStr">
        <is>
          <t>Affiliate Payout</t>
        </is>
      </c>
      <c r="F25" s="272" t="inlineStr">
        <is>
          <t>Monthly $5K — matches all 12 months</t>
        </is>
      </c>
    </row>
    <row r="26" ht="18" customHeight="1" s="138">
      <c r="A26" s="235" t="inlineStr">
        <is>
          <t>Feb 4</t>
        </is>
      </c>
      <c r="B26" s="234" t="inlineStr">
        <is>
          <t>Recurring Transfer → Mahlow J (Colorado)</t>
        </is>
      </c>
      <c r="C26" s="243" t="n">
        <v>1500</v>
      </c>
      <c r="D26" s="273" t="inlineStr">
        <is>
          <t>OUT</t>
        </is>
      </c>
      <c r="E26" s="234" t="inlineStr">
        <is>
          <t>Owner Draw</t>
        </is>
      </c>
      <c r="F26" s="274" t="inlineStr">
        <is>
          <t>$1,500/mo personal transfer to Joe</t>
        </is>
      </c>
    </row>
    <row r="27" ht="18" customHeight="1" s="138">
      <c r="A27" s="253" t="inlineStr">
        <is>
          <t>Feb 14</t>
        </is>
      </c>
      <c r="B27" s="192" t="inlineStr">
        <is>
          <t>Identity Intelli Payment 2640</t>
        </is>
      </c>
      <c r="C27" s="269" t="n">
        <v>6125</v>
      </c>
      <c r="D27" s="254" t="inlineStr">
        <is>
          <t>IN</t>
        </is>
      </c>
      <c r="E27" s="192" t="inlineStr">
        <is>
          <t>IDIQ Revenue</t>
        </is>
      </c>
      <c r="F27" s="270" t="inlineStr">
        <is>
          <t>Feb IDIQ — growing M/M</t>
        </is>
      </c>
    </row>
    <row r="28" ht="18" customHeight="1" s="138">
      <c r="A28" s="235" t="inlineStr">
        <is>
          <t>Feb 13</t>
        </is>
      </c>
      <c r="B28" s="234" t="inlineStr">
        <is>
          <t>Paychex Payroll + EIB Invoice (run 1)</t>
        </is>
      </c>
      <c r="C28" s="243" t="n">
        <v>26369.01</v>
      </c>
      <c r="D28" s="273" t="inlineStr">
        <is>
          <t>OUT</t>
        </is>
      </c>
      <c r="E28" s="234" t="inlineStr">
        <is>
          <t>Payroll</t>
        </is>
      </c>
      <c r="F28" s="274" t="inlineStr">
        <is>
          <t>$4,000 + $22,369.01 — higher than Jan</t>
        </is>
      </c>
    </row>
    <row r="29" ht="18" customHeight="1" s="138">
      <c r="A29" s="238" t="inlineStr">
        <is>
          <t>Feb 27</t>
        </is>
      </c>
      <c r="B29" s="199" t="inlineStr">
        <is>
          <t>Paychex Payroll + EIB Invoice (run 2)</t>
        </is>
      </c>
      <c r="C29" s="245" t="n">
        <v>22162.95</v>
      </c>
      <c r="D29" s="271" t="inlineStr">
        <is>
          <t>OUT</t>
        </is>
      </c>
      <c r="E29" s="199" t="inlineStr">
        <is>
          <t>Payroll</t>
        </is>
      </c>
      <c r="F29" s="272" t="inlineStr">
        <is>
          <t>$4,000 + $18,162.95</t>
        </is>
      </c>
    </row>
    <row r="30" ht="18" customHeight="1" s="138">
      <c r="A30" s="235" t="inlineStr">
        <is>
          <t>Mar 4</t>
        </is>
      </c>
      <c r="B30" s="234" t="inlineStr">
        <is>
          <t>Recurring Transfer → Fearn Mahlow A</t>
        </is>
      </c>
      <c r="C30" s="243" t="n">
        <v>1500</v>
      </c>
      <c r="D30" s="273" t="inlineStr">
        <is>
          <t>OUT</t>
        </is>
      </c>
      <c r="E30" s="234" t="inlineStr">
        <is>
          <t>Owner Draw</t>
        </is>
      </c>
      <c r="F30" s="274" t="inlineStr">
        <is>
          <t>⚠️ Name changed to Aubrey — same $1,500/mo</t>
        </is>
      </c>
    </row>
    <row r="31" ht="18" customHeight="1" s="138">
      <c r="A31" s="253" t="inlineStr">
        <is>
          <t>Mar 14</t>
        </is>
      </c>
      <c r="B31" s="192" t="inlineStr">
        <is>
          <t>Identity Intelli Payment 2640</t>
        </is>
      </c>
      <c r="C31" s="269" t="n">
        <v>6965</v>
      </c>
      <c r="D31" s="254" t="inlineStr">
        <is>
          <t>IN</t>
        </is>
      </c>
      <c r="E31" s="192" t="inlineStr">
        <is>
          <t>IDIQ Revenue</t>
        </is>
      </c>
      <c r="F31" s="270" t="inlineStr">
        <is>
          <t>March IDIQ — still growing</t>
        </is>
      </c>
    </row>
    <row r="32" ht="18" customHeight="1" s="138">
      <c r="A32" s="235" t="inlineStr">
        <is>
          <t>Mar 13</t>
        </is>
      </c>
      <c r="B32" s="234" t="inlineStr">
        <is>
          <t>Paychex Payroll + EIB Invoice (run 1)</t>
        </is>
      </c>
      <c r="C32" s="243" t="n">
        <v>26730.34</v>
      </c>
      <c r="D32" s="273" t="inlineStr">
        <is>
          <t>OUT</t>
        </is>
      </c>
      <c r="E32" s="234" t="inlineStr">
        <is>
          <t>Payroll</t>
        </is>
      </c>
      <c r="F32" s="274" t="inlineStr">
        <is>
          <t>$4,000 + $22,730.34</t>
        </is>
      </c>
    </row>
    <row r="33" ht="18" customHeight="1" s="138">
      <c r="A33" s="238" t="inlineStr">
        <is>
          <t>Mar 31</t>
        </is>
      </c>
      <c r="B33" s="199" t="inlineStr">
        <is>
          <t>Paychex Payroll + EIB Invoice (run 2)</t>
        </is>
      </c>
      <c r="C33" s="245" t="n">
        <v>21848.12</v>
      </c>
      <c r="D33" s="271" t="inlineStr">
        <is>
          <t>OUT</t>
        </is>
      </c>
      <c r="E33" s="199" t="inlineStr">
        <is>
          <t>Payroll</t>
        </is>
      </c>
      <c r="F33" s="272" t="inlineStr">
        <is>
          <t>$4,000 + $17,848.12</t>
        </is>
      </c>
    </row>
    <row r="34" ht="18" customHeight="1" s="138">
      <c r="A34" s="235" t="inlineStr">
        <is>
          <t>Mar 28</t>
        </is>
      </c>
      <c r="B34" s="234" t="inlineStr">
        <is>
          <t>Chase Credit Card Payment (large)</t>
        </is>
      </c>
      <c r="C34" s="243" t="n">
        <v>15000</v>
      </c>
      <c r="D34" s="273" t="inlineStr">
        <is>
          <t>OUT</t>
        </is>
      </c>
      <c r="E34" s="234" t="inlineStr">
        <is>
          <t>Credit Card Pmt</t>
        </is>
      </c>
      <c r="F34" s="274" t="inlineStr">
        <is>
          <t>Unusually large payment — verify vs Chase stmt</t>
        </is>
      </c>
    </row>
    <row r="35" ht="18" customHeight="1" s="138">
      <c r="A35" s="238" t="inlineStr">
        <is>
          <t>Mar 31</t>
        </is>
      </c>
      <c r="B35" s="199" t="inlineStr">
        <is>
          <t>WF Direct Pay — Suite 555 Affiliate Payout</t>
        </is>
      </c>
      <c r="C35" s="245" t="n">
        <v>5000</v>
      </c>
      <c r="D35" s="271" t="inlineStr">
        <is>
          <t>OUT</t>
        </is>
      </c>
      <c r="E35" s="199" t="inlineStr">
        <is>
          <t>Affiliate Payout</t>
        </is>
      </c>
      <c r="F35" s="272" t="inlineStr">
        <is>
          <t>Monthly $5K</t>
        </is>
      </c>
    </row>
    <row r="37" ht="21.75" customHeight="1" s="138">
      <c r="A37" s="235" t="inlineStr">
        <is>
          <t>Apr 7</t>
        </is>
      </c>
      <c r="B37" s="234" t="inlineStr">
        <is>
          <t>Steven Wyatt Sale (×6 payments)</t>
        </is>
      </c>
      <c r="C37" s="243" t="n">
        <v>3950</v>
      </c>
      <c r="D37" s="273" t="inlineStr">
        <is>
          <t>OUT</t>
        </is>
      </c>
      <c r="E37" s="234" t="inlineStr">
        <is>
          <t>Unknown Vendor</t>
        </is>
      </c>
      <c r="F37" s="244" t="inlineStr">
        <is>
          <t>⚠️ NEW: 5×$650 + 1×$750 on same day — who is Steven Wyatt? Needs explanation for CPA</t>
        </is>
      </c>
    </row>
    <row r="38" ht="21.75" customHeight="1" s="138">
      <c r="A38" s="253" t="inlineStr">
        <is>
          <t>Apr 10</t>
        </is>
      </c>
      <c r="B38" s="192" t="inlineStr">
        <is>
          <t>Identity Intelli Payment 2640</t>
        </is>
      </c>
      <c r="C38" s="269" t="n">
        <v>9520</v>
      </c>
      <c r="D38" s="254" t="inlineStr">
        <is>
          <t>IN</t>
        </is>
      </c>
      <c r="E38" s="192" t="inlineStr">
        <is>
          <t>IDIQ Revenue</t>
        </is>
      </c>
      <c r="F38" s="270" t="inlineStr">
        <is>
          <t>Apr IDIQ — strongest month yet, +$2,555 vs March</t>
        </is>
      </c>
    </row>
    <row r="39" ht="21.75" customHeight="1" s="138">
      <c r="A39" s="235" t="inlineStr">
        <is>
          <t>Apr 14</t>
        </is>
      </c>
      <c r="B39" s="234" t="inlineStr">
        <is>
          <t>Paychex Payroll + EIB Invoice (run 1)</t>
        </is>
      </c>
      <c r="C39" s="243" t="n">
        <v>30777.02</v>
      </c>
      <c r="D39" s="273" t="inlineStr">
        <is>
          <t>OUT</t>
        </is>
      </c>
      <c r="E39" s="234" t="inlineStr">
        <is>
          <t>Payroll</t>
        </is>
      </c>
      <c r="F39" s="274" t="inlineStr">
        <is>
          <t>$4,000 + $26,777.02 — payroll growing with team</t>
        </is>
      </c>
    </row>
    <row r="40" ht="21.75" customHeight="1" s="138">
      <c r="A40" s="253" t="inlineStr">
        <is>
          <t>Apr 28</t>
        </is>
      </c>
      <c r="B40" s="192" t="inlineStr">
        <is>
          <t>$7K mobile deposit + $7K transfer out</t>
        </is>
      </c>
      <c r="C40" s="269" t="n">
        <v>7000</v>
      </c>
      <c r="D40" s="254" t="inlineStr">
        <is>
          <t>IN</t>
        </is>
      </c>
      <c r="E40" s="192" t="inlineStr">
        <is>
          <t>Insurance/Penske</t>
        </is>
      </c>
      <c r="F40" s="275" t="inlineStr">
        <is>
          <t>⚠️ Mobile deposit $7K then immediately transferred to personal — labeled "Insurance Check Deposit Penske". Truck insurance claim? Document for CPA.</t>
        </is>
      </c>
    </row>
    <row r="41" ht="21.75" customHeight="1" s="138">
      <c r="A41" s="235" t="inlineStr">
        <is>
          <t>Apr 30</t>
        </is>
      </c>
      <c r="B41" s="234" t="inlineStr">
        <is>
          <t>Paychex Payroll + EIB Invoice (run 2)</t>
        </is>
      </c>
      <c r="C41" s="243" t="n">
        <v>21740.2</v>
      </c>
      <c r="D41" s="273" t="inlineStr">
        <is>
          <t>OUT</t>
        </is>
      </c>
      <c r="E41" s="234" t="inlineStr">
        <is>
          <t>Payroll</t>
        </is>
      </c>
      <c r="F41" s="274" t="inlineStr">
        <is>
          <t>$4,000 + $17,740.20</t>
        </is>
      </c>
    </row>
    <row r="42" ht="21.75" customHeight="1" s="138">
      <c r="A42" s="253" t="inlineStr">
        <is>
          <t>May 8</t>
        </is>
      </c>
      <c r="B42" s="192" t="inlineStr">
        <is>
          <t>Identity Intelli Payment 2640</t>
        </is>
      </c>
      <c r="C42" s="269" t="n">
        <v>9765</v>
      </c>
      <c r="D42" s="254" t="inlineStr">
        <is>
          <t>IN</t>
        </is>
      </c>
      <c r="E42" s="192" t="inlineStr">
        <is>
          <t>IDIQ Revenue</t>
        </is>
      </c>
      <c r="F42" s="270" t="inlineStr">
        <is>
          <t>May IDIQ — YTD total now $36,575 through May</t>
        </is>
      </c>
    </row>
    <row r="43" ht="21.75" customHeight="1" s="138">
      <c r="A43" s="235" t="inlineStr">
        <is>
          <t>May 14</t>
        </is>
      </c>
      <c r="B43" s="234" t="inlineStr">
        <is>
          <t>Paychex Payroll + EIB Invoice (run 1)</t>
        </is>
      </c>
      <c r="C43" s="243" t="n">
        <v>31002.75</v>
      </c>
      <c r="D43" s="273" t="inlineStr">
        <is>
          <t>OUT</t>
        </is>
      </c>
      <c r="E43" s="234" t="inlineStr">
        <is>
          <t>Payroll</t>
        </is>
      </c>
      <c r="F43" s="274" t="inlineStr">
        <is>
          <t>$4,000 + $27,002.75 — highest single payroll run so far</t>
        </is>
      </c>
    </row>
    <row r="44" ht="21.75" customHeight="1" s="138">
      <c r="A44" s="238" t="inlineStr">
        <is>
          <t>May 21</t>
        </is>
      </c>
      <c r="B44" s="199" t="inlineStr">
        <is>
          <t>Zelle to Aaron — $5,000</t>
        </is>
      </c>
      <c r="C44" s="245" t="n">
        <v>5000</v>
      </c>
      <c r="D44" s="271" t="inlineStr">
        <is>
          <t>OUT</t>
        </is>
      </c>
      <c r="E44" s="199" t="inlineStr">
        <is>
          <t>Unknown</t>
        </is>
      </c>
      <c r="F44" s="246" t="inlineStr">
        <is>
          <t>⚠️ NEW: "Zelle to Aaron" $5K — who is Aaron? Not a vendor seen in prior months. Needs explanation.</t>
        </is>
      </c>
    </row>
    <row r="45" ht="21.75" customHeight="1" s="138">
      <c r="A45" s="235" t="inlineStr">
        <is>
          <t>May 22</t>
        </is>
      </c>
      <c r="B45" s="234" t="inlineStr">
        <is>
          <t>Zelle to Aaron — $1,000</t>
        </is>
      </c>
      <c r="C45" s="243" t="n">
        <v>1000</v>
      </c>
      <c r="D45" s="273" t="inlineStr">
        <is>
          <t>OUT</t>
        </is>
      </c>
      <c r="E45" s="234" t="inlineStr">
        <is>
          <t>Unknown</t>
        </is>
      </c>
      <c r="F45" s="244" t="inlineStr">
        <is>
          <t>⚠️ Continued: same "Aaron" $1K next day. Total $6K in 2 days — employee advance? Sub-contractor? Document.</t>
        </is>
      </c>
    </row>
    <row r="46" ht="21.75" customHeight="1" s="138">
      <c r="A46" s="238" t="inlineStr">
        <is>
          <t>May 29</t>
        </is>
      </c>
      <c r="B46" s="199" t="inlineStr">
        <is>
          <t>Paychex Payroll + EIB Invoice (run 2)</t>
        </is>
      </c>
      <c r="C46" s="245" t="n">
        <v>21708.55</v>
      </c>
      <c r="D46" s="271" t="inlineStr">
        <is>
          <t>OUT</t>
        </is>
      </c>
      <c r="E46" s="199" t="inlineStr">
        <is>
          <t>Payroll</t>
        </is>
      </c>
      <c r="F46" s="272" t="inlineStr">
        <is>
          <t>$4,000 + $17,708.55</t>
        </is>
      </c>
    </row>
    <row r="47" ht="51.75" customHeight="1" s="138">
      <c r="A47" s="276" t="inlineStr">
        <is>
          <t>⚠️  CPA FLAG: Feb monthly transfer says "Mahlow J" (Joe), March changes to "Fearn Mahlow A" (Aubrey). Both are $1,500/mo — this appears to be the ConsumerDirect commission pass-through. Verify name change was intentional and consistent through year-end.</t>
        </is>
      </c>
      <c r="B47" s="194" t="n"/>
      <c r="C47" s="194" t="n"/>
      <c r="D47" s="194" t="n"/>
      <c r="E47" s="194" t="n"/>
      <c r="F47" s="194" t="n"/>
      <c r="G47" s="277" t="n"/>
    </row>
    <row r="48" ht="39.75" customHeight="1" s="138">
      <c r="A48" s="278" t="inlineStr">
        <is>
          <t>📈  IDIQ COMMISSION TREND (Jan–May 2025): Jan $4,200 → Feb $6,125 → Mar $6,965 → Apr $9,520 → May $9,765. YTD total = $36,575. Strong growth trajectory — annualizing toward ~$110K+ if trend holds through Dec.</t>
        </is>
      </c>
      <c r="B48" s="194" t="n"/>
      <c r="C48" s="194" t="n"/>
      <c r="D48" s="194" t="n"/>
      <c r="E48" s="194" t="n"/>
      <c r="F48" s="194" t="n"/>
      <c r="G48" s="194" t="n"/>
    </row>
    <row r="49" ht="8" customHeight="1" s="138"/>
    <row r="50" ht="20" customHeight="1" s="138">
      <c r="A50" s="279" t="inlineStr">
        <is>
          <t>JUNE 2025 KEY TRANSACTIONS</t>
        </is>
      </c>
      <c r="B50" s="194" t="n"/>
      <c r="C50" s="194" t="n"/>
      <c r="D50" s="194" t="n"/>
      <c r="E50" s="194" t="n"/>
      <c r="F50" s="194" t="n"/>
      <c r="G50" s="277" t="n"/>
    </row>
    <row r="51" ht="20" customHeight="1" s="138">
      <c r="A51" s="280" t="inlineStr">
        <is>
          <t>Jun 12</t>
        </is>
      </c>
      <c r="B51" s="281" t="inlineStr">
        <is>
          <t>Paychex Payroll + EIB Invoice (run 1)</t>
        </is>
      </c>
      <c r="C51" s="282" t="n">
        <v>30285.82</v>
      </c>
      <c r="D51" s="283" t="inlineStr">
        <is>
          <t>OUT</t>
        </is>
      </c>
      <c r="E51" s="281" t="inlineStr">
        <is>
          <t>Payroll</t>
        </is>
      </c>
      <c r="F51" s="284" t="inlineStr">
        <is>
          <t>$4,000 + $26,285.82 — consistent with prior months</t>
        </is>
      </c>
    </row>
    <row r="52" ht="20" customHeight="1" s="138">
      <c r="A52" s="256" t="inlineStr">
        <is>
          <t>Jun 13</t>
        </is>
      </c>
      <c r="B52" s="285" t="inlineStr">
        <is>
          <t>Identity Intelli Payment 2640</t>
        </is>
      </c>
      <c r="C52" s="286" t="n">
        <v>9205</v>
      </c>
      <c r="D52" s="259" t="inlineStr">
        <is>
          <t>IN</t>
        </is>
      </c>
      <c r="E52" s="285" t="inlineStr">
        <is>
          <t>IDIQ Revenue</t>
        </is>
      </c>
      <c r="F52" s="287" t="inlineStr">
        <is>
          <t>June IDIQ — slight dip vs May. YTD H1 total = $45,780</t>
        </is>
      </c>
    </row>
    <row r="53" ht="20" customHeight="1" s="138">
      <c r="A53" s="280" t="inlineStr">
        <is>
          <t>Jun 5</t>
        </is>
      </c>
      <c r="B53" s="281" t="inlineStr">
        <is>
          <t>Remitly transfers (new vendor)</t>
        </is>
      </c>
      <c r="C53" s="282" t="n">
        <v>509.49</v>
      </c>
      <c r="D53" s="283" t="inlineStr">
        <is>
          <t>OUT</t>
        </is>
      </c>
      <c r="E53" s="281" t="inlineStr">
        <is>
          <t>International Xfer</t>
        </is>
      </c>
      <c r="F53" s="284" t="inlineStr">
        <is>
          <t>NEW payment method alongside Wise/Xoom — confirm are contractor payments</t>
        </is>
      </c>
    </row>
    <row r="54" ht="20" customHeight="1" s="138">
      <c r="A54" s="288" t="inlineStr">
        <is>
          <t>Jun 16</t>
        </is>
      </c>
      <c r="B54" s="289" t="inlineStr">
        <is>
          <t>Remitly transfers ×2</t>
        </is>
      </c>
      <c r="C54" s="290" t="n">
        <v>1350.48</v>
      </c>
      <c r="D54" s="291" t="inlineStr">
        <is>
          <t>OUT</t>
        </is>
      </c>
      <c r="E54" s="289" t="inlineStr">
        <is>
          <t>International Xfer</t>
        </is>
      </c>
      <c r="F54" s="292" t="inlineStr">
        <is>
          <t>Additional Remitly: $841 + $509 — same day as large Wise run</t>
        </is>
      </c>
    </row>
    <row r="55" ht="20" customHeight="1" s="138">
      <c r="A55" s="280" t="inlineStr">
        <is>
          <t>Jun 10</t>
        </is>
      </c>
      <c r="B55" s="281" t="inlineStr">
        <is>
          <t>Facebook Ads — multiple charges</t>
        </is>
      </c>
      <c r="C55" s="282" t="n">
        <v>1025.03</v>
      </c>
      <c r="D55" s="283" t="inlineStr">
        <is>
          <t>OUT</t>
        </is>
      </c>
      <c r="E55" s="281" t="inlineStr">
        <is>
          <t>Advertising</t>
        </is>
      </c>
      <c r="F55" s="284" t="inlineStr">
        <is>
          <t>Ad spend picks up: ~$1,025 across 4 Facebook charges. Deductible marketing.</t>
        </is>
      </c>
    </row>
    <row r="56" ht="20" customHeight="1" s="138">
      <c r="A56" s="256" t="inlineStr">
        <is>
          <t>Jun 23</t>
        </is>
      </c>
      <c r="B56" s="285" t="inlineStr">
        <is>
          <t>ConsumerDirect $2,493 → transferred out</t>
        </is>
      </c>
      <c r="C56" s="286" t="n">
        <v>2493.61</v>
      </c>
      <c r="D56" s="259" t="inlineStr">
        <is>
          <t>IN</t>
        </is>
      </c>
      <c r="E56" s="285" t="inlineStr">
        <is>
          <t>ConsumerDirect</t>
        </is>
      </c>
      <c r="F56" s="287" t="inlineStr">
        <is>
          <t>Received 6/23, transferred to personal 6/25. Pass-through — consistent pattern.</t>
        </is>
      </c>
    </row>
    <row r="57" ht="20" customHeight="1" s="138">
      <c r="A57" s="280" t="inlineStr">
        <is>
          <t>Jun 30</t>
        </is>
      </c>
      <c r="B57" s="281" t="inlineStr">
        <is>
          <t>Paychex Payroll + EIB Invoice (run 2)</t>
        </is>
      </c>
      <c r="C57" s="282" t="n">
        <v>21739.56</v>
      </c>
      <c r="D57" s="283" t="inlineStr">
        <is>
          <t>OUT</t>
        </is>
      </c>
      <c r="E57" s="281" t="inlineStr">
        <is>
          <t>Payroll</t>
        </is>
      </c>
      <c r="F57" s="284" t="inlineStr">
        <is>
          <t>$4,000 + $17,739.56</t>
        </is>
      </c>
    </row>
    <row r="58" ht="20" customHeight="1" s="138">
      <c r="A58" s="256" t="inlineStr">
        <is>
          <t>Jun 30</t>
        </is>
      </c>
      <c r="B58" s="285" t="inlineStr">
        <is>
          <t>RateSpecial $1,200 + transferred out</t>
        </is>
      </c>
      <c r="C58" s="286" t="n">
        <v>1200</v>
      </c>
      <c r="D58" s="259" t="inlineStr">
        <is>
          <t>IN</t>
        </is>
      </c>
      <c r="E58" s="285" t="inlineStr">
        <is>
          <t>RateSpecial Revenue</t>
        </is>
      </c>
      <c r="F58" s="287" t="inlineStr">
        <is>
          <t>Biggest RateSpecial month yet — $1,200 received and immediately transferred to personal</t>
        </is>
      </c>
    </row>
    <row r="60" ht="60" customHeight="1" s="138">
      <c r="A60" s="293" t="inlineStr">
        <is>
          <t>✅ CLARIFICATIONS RESOLVED: (1) Steven Wyatt $3,950 Apr — Home Improvements (get receipt/invoice). (2) $7K Penske Apr — Insurance claim reimbursement, NOT income. (3) Paychex W-3/940/941 — ASAP is on Paychex PEO; forms filed by Paychex directly. CPA should verify via IRS transcript — Joe does not receive these forms.</t>
        </is>
      </c>
      <c r="B60" s="194" t="n"/>
      <c r="C60" s="194" t="n"/>
      <c r="D60" s="194" t="n"/>
      <c r="E60" s="194" t="n"/>
      <c r="F60" s="194" t="n"/>
      <c r="G60" s="277" t="n"/>
    </row>
    <row r="61" ht="35" customHeight="1" s="138">
      <c r="A61" s="293" t="inlineStr">
        <is>
          <t>📈  IDIQ H1 TREND: Jan $4,200 → Feb $6,125 → Mar $6,965 → Apr $9,520 → May $9,765 → Jun $9,205. H1 Total = $45,780. Small June dip but well above Q1. Full year on track for $90K–$110K depending on H2.</t>
        </is>
      </c>
      <c r="B61" s="194" t="n"/>
      <c r="C61" s="194" t="n"/>
      <c r="D61" s="194" t="n"/>
      <c r="E61" s="194" t="n"/>
      <c r="F61" s="194" t="n"/>
      <c r="G61" s="277" t="n"/>
    </row>
    <row r="63" ht="20" customHeight="1" s="138">
      <c r="A63" s="279" t="inlineStr">
        <is>
          <t>JULY 2025 KEY TRANSACTIONS</t>
        </is>
      </c>
      <c r="B63" s="194" t="n"/>
      <c r="C63" s="194" t="n"/>
      <c r="D63" s="194" t="n"/>
      <c r="E63" s="194" t="n"/>
      <c r="F63" s="194" t="n"/>
      <c r="G63" s="277" t="n"/>
    </row>
    <row r="64" ht="22" customHeight="1" s="138">
      <c r="A64" s="256" t="inlineStr">
        <is>
          <t>Jul 10</t>
        </is>
      </c>
      <c r="B64" s="285" t="inlineStr">
        <is>
          <t>Identity Intelli (IDIQ) $10,360</t>
        </is>
      </c>
      <c r="C64" s="286" t="n">
        <v>10360</v>
      </c>
      <c r="D64" s="259" t="inlineStr">
        <is>
          <t>IN</t>
        </is>
      </c>
      <c r="E64" s="285" t="inlineStr">
        <is>
          <t>IDIQ Revenue</t>
        </is>
      </c>
      <c r="F64" s="287" t="inlineStr">
        <is>
          <t>Best IDIQ month so far — $10,360. Labeled "IDIQ Money" on same-day $10K transfer to personal.</t>
        </is>
      </c>
    </row>
    <row r="65" ht="22" customHeight="1" s="138">
      <c r="A65" s="288" t="inlineStr">
        <is>
          <t>Jul 10</t>
        </is>
      </c>
      <c r="B65" s="289" t="inlineStr">
        <is>
          <t>$10K transfer to personal — labeled "IDIQ Money"</t>
        </is>
      </c>
      <c r="C65" s="290" t="n">
        <v>10000</v>
      </c>
      <c r="D65" s="291" t="inlineStr">
        <is>
          <t>OUT</t>
        </is>
      </c>
      <c r="E65" s="289" t="inlineStr">
        <is>
          <t>Owner Draw</t>
        </is>
      </c>
      <c r="F65" s="292" t="inlineStr">
        <is>
          <t>⚠️ Transfer memo specifically says "IDIQ Money" — CPA should classify as owner distribution, not expense.</t>
        </is>
      </c>
    </row>
    <row r="66" ht="22" customHeight="1" s="138">
      <c r="A66" s="280" t="inlineStr">
        <is>
          <t>Jul 14</t>
        </is>
      </c>
      <c r="B66" s="281" t="inlineStr">
        <is>
          <t>Paychex Payroll + EIB Invoice (run 1)</t>
        </is>
      </c>
      <c r="C66" s="318" t="n">
        <v>31943.18</v>
      </c>
      <c r="D66" s="296" t="inlineStr">
        <is>
          <t>OUT</t>
        </is>
      </c>
      <c r="E66" s="281" t="inlineStr">
        <is>
          <t>Payroll</t>
        </is>
      </c>
      <c r="F66" s="284" t="inlineStr">
        <is>
          <t>$4,000 + $27,943.18 — highest single payroll EIB so far</t>
        </is>
      </c>
    </row>
    <row r="67" ht="22" customHeight="1" s="138">
      <c r="A67" s="288" t="inlineStr">
        <is>
          <t>Jul 21–25</t>
        </is>
      </c>
      <c r="B67" s="289" t="inlineStr">
        <is>
          <t>Southwest Airlines + Las Vegas charges</t>
        </is>
      </c>
      <c r="C67" s="319" t="n">
        <v>381.07</v>
      </c>
      <c r="D67" s="320" t="inlineStr">
        <is>
          <t>OUT</t>
        </is>
      </c>
      <c r="E67" s="289" t="inlineStr">
        <is>
          <t>Travel</t>
        </is>
      </c>
      <c r="F67" s="292" t="inlineStr">
        <is>
          <t>✅ LIKELY HORMOZI EVENT: SW flight $207 (Jul 21) + SW wifi $8 (Jul 24) + Chin Chin LV $104 + Broken Yolk LV $42 + NYNY Sirricos LV $20 + Denver parking $40. Las Vegas Jul 23-25. This is likely the $5K conference trip — document as business travel.</t>
        </is>
      </c>
    </row>
    <row r="68" ht="22" customHeight="1" s="138">
      <c r="A68" s="280" t="inlineStr">
        <is>
          <t>Jul 31</t>
        </is>
      </c>
      <c r="B68" s="281" t="inlineStr">
        <is>
          <t>Paychex Payroll + EIB Invoice (run 2)</t>
        </is>
      </c>
      <c r="C68" s="318" t="n">
        <v>23001.4</v>
      </c>
      <c r="D68" s="296" t="inlineStr">
        <is>
          <t>OUT</t>
        </is>
      </c>
      <c r="E68" s="281" t="inlineStr">
        <is>
          <t>Payroll</t>
        </is>
      </c>
      <c r="F68" s="284" t="inlineStr">
        <is>
          <t>$4,000 + $19,001.40</t>
        </is>
      </c>
    </row>
    <row r="69" ht="22" customHeight="1" s="138">
      <c r="A69" s="288" t="inlineStr">
        <is>
          <t>Jul 17</t>
        </is>
      </c>
      <c r="B69" s="289" t="inlineStr">
        <is>
          <t>Smartlead x3 charges + Emailable x2</t>
        </is>
      </c>
      <c r="C69" s="319" t="n">
        <v>602.35</v>
      </c>
      <c r="D69" s="320" t="inlineStr">
        <is>
          <t>OUT</t>
        </is>
      </c>
      <c r="E69" s="289" t="inlineStr">
        <is>
          <t>Software/Marketing</t>
        </is>
      </c>
      <c r="F69" s="292" t="inlineStr">
        <is>
          <t>New tools: Smartlead (email outreach) $341.50 + Emailable (email validation) $260.85 — deductible SaaS</t>
        </is>
      </c>
    </row>
    <row r="70" ht="22" customHeight="1" s="138">
      <c r="A70" s="280" t="inlineStr">
        <is>
          <t>Jul 10</t>
        </is>
      </c>
      <c r="B70" s="281" t="inlineStr">
        <is>
          <t>GoDaddy $315.96 — large domain/hosting order</t>
        </is>
      </c>
      <c r="C70" s="318" t="n">
        <v>315.96</v>
      </c>
      <c r="D70" s="296" t="inlineStr">
        <is>
          <t>OUT</t>
        </is>
      </c>
      <c r="E70" s="281" t="inlineStr">
        <is>
          <t>Technology</t>
        </is>
      </c>
      <c r="F70" s="284" t="inlineStr">
        <is>
          <t>Larger than normal GoDaddy charge — likely annual renewal or new domain package</t>
        </is>
      </c>
    </row>
    <row r="71" ht="22" customHeight="1" s="138">
      <c r="A71" s="288" t="inlineStr">
        <is>
          <t>Jul 10</t>
        </is>
      </c>
      <c r="B71" s="289" t="inlineStr">
        <is>
          <t>WF Direct Pay refund + $14.99 payment out</t>
        </is>
      </c>
      <c r="C71" s="290" t="n">
        <v>513.99</v>
      </c>
      <c r="D71" s="291" t="inlineStr">
        <is>
          <t>OUT</t>
        </is>
      </c>
      <c r="E71" s="289" t="inlineStr">
        <is>
          <t>Misc</t>
        </is>
      </c>
      <c r="F71" s="292" t="inlineStr">
        <is>
          <t>⚠️ "Refund Payment for Services" $499 + "Payment Towards Money Owed" $14.99 — clarify what these are for CPA</t>
        </is>
      </c>
    </row>
    <row r="73" ht="30" customHeight="1" s="138">
      <c r="A73" s="293" t="inlineStr">
        <is>
          <t>📈  IDIQ YTD (Jan–Jul): $4,200 → $6,125 → $6,965 → $9,520 → $9,765 → $9,205 → $10,360. YTD Total = $56,140. July is new high. Annualizing ~$96K+ for full year.</t>
        </is>
      </c>
      <c r="B73" s="194" t="n"/>
      <c r="C73" s="194" t="n"/>
      <c r="D73" s="194" t="n"/>
      <c r="E73" s="194" t="n"/>
      <c r="F73" s="194" t="n"/>
      <c r="G73" s="277" t="n"/>
    </row>
    <row r="75" ht="20" customHeight="1" s="138">
      <c r="A75" s="279" t="inlineStr">
        <is>
          <t>AUGUST 2025 KEY TRANSACTIONS</t>
        </is>
      </c>
      <c r="B75" s="194" t="n"/>
      <c r="C75" s="194" t="n"/>
      <c r="D75" s="194" t="n"/>
      <c r="E75" s="194" t="n"/>
      <c r="F75" s="194" t="n"/>
      <c r="G75" s="277" t="n"/>
    </row>
    <row r="76" ht="22" customHeight="1" s="138">
      <c r="A76" s="256" t="inlineStr">
        <is>
          <t>Aug 7</t>
        </is>
      </c>
      <c r="B76" s="285" t="inlineStr">
        <is>
          <t>Identity Intelli (IDIQ) $9,205</t>
        </is>
      </c>
      <c r="C76" s="286" t="n">
        <v>9205</v>
      </c>
      <c r="D76" s="259" t="inlineStr">
        <is>
          <t>IN</t>
        </is>
      </c>
      <c r="E76" s="285" t="inlineStr">
        <is>
          <t>IDIQ Revenue</t>
        </is>
      </c>
      <c r="F76" s="287" t="inlineStr">
        <is>
          <t>Same as June. Slight dip from July $10,360 high.</t>
        </is>
      </c>
    </row>
    <row r="77" ht="22" customHeight="1" s="138">
      <c r="A77" s="288" t="inlineStr">
        <is>
          <t>Aug 8</t>
        </is>
      </c>
      <c r="B77" s="289" t="inlineStr">
        <is>
          <t>$4,500 transfer to personal — "1/2 Idiq Commission"</t>
        </is>
      </c>
      <c r="C77" s="290" t="n">
        <v>4500</v>
      </c>
      <c r="D77" s="291" t="inlineStr">
        <is>
          <t>OUT</t>
        </is>
      </c>
      <c r="E77" s="289" t="inlineStr">
        <is>
          <t>Owner Draw</t>
        </is>
      </c>
      <c r="F77" s="292" t="inlineStr">
        <is>
          <t>⚠️ Labeled "1/2 Idiq Commission Payment" — implies $9,205 split. Other half may have gone separately or been held. CPA note: owner distribution.</t>
        </is>
      </c>
    </row>
    <row r="78" ht="22" customHeight="1" s="138">
      <c r="A78" s="280" t="inlineStr">
        <is>
          <t>Aug 7</t>
        </is>
      </c>
      <c r="B78" s="281" t="inlineStr">
        <is>
          <t>Paypal *Ourtinyadv — $930</t>
        </is>
      </c>
      <c r="C78" s="282" t="n">
        <v>930</v>
      </c>
      <c r="D78" s="283" t="inlineStr">
        <is>
          <t>OUT</t>
        </is>
      </c>
      <c r="E78" s="281" t="inlineStr">
        <is>
          <t>⚠️ CLARIFY</t>
        </is>
      </c>
      <c r="F78" s="284" t="inlineStr">
        <is>
          <t>⚠️ NEW VENDOR: "Our Tiny Adventure" PayPal payment. Aug 7 = $930, Aug 12 = $175. Total $1,105. What is this? Videography? Content creation?</t>
        </is>
      </c>
    </row>
    <row r="79" ht="22" customHeight="1" s="138">
      <c r="A79" s="288" t="inlineStr">
        <is>
          <t>Aug 12</t>
        </is>
      </c>
      <c r="B79" s="289" t="inlineStr">
        <is>
          <t>Paypal *Ourtinyadv — $175 (2nd charge)</t>
        </is>
      </c>
      <c r="C79" s="290" t="n">
        <v>175</v>
      </c>
      <c r="D79" s="291" t="inlineStr">
        <is>
          <t>OUT</t>
        </is>
      </c>
      <c r="E79" s="289" t="inlineStr">
        <is>
          <t>⚠️ CLARIFY</t>
        </is>
      </c>
      <c r="F79" s="292" t="inlineStr">
        <is>
          <t>⚠️ See above — same unknown vendor. Need to clarify for CPA.</t>
        </is>
      </c>
    </row>
    <row r="80" ht="22" customHeight="1" s="138">
      <c r="A80" s="280" t="inlineStr">
        <is>
          <t>Aug 14</t>
        </is>
      </c>
      <c r="B80" s="281" t="inlineStr">
        <is>
          <t>Paychex Payroll run 1: $4K + $26,534.44</t>
        </is>
      </c>
      <c r="C80" s="318" t="n">
        <v>30534.44</v>
      </c>
      <c r="D80" s="296" t="inlineStr">
        <is>
          <t>OUT</t>
        </is>
      </c>
      <c r="E80" s="281" t="inlineStr">
        <is>
          <t>Payroll</t>
        </is>
      </c>
      <c r="F80" s="284" t="inlineStr">
        <is>
          <t>Standard bi-monthly payroll.</t>
        </is>
      </c>
    </row>
    <row r="81" ht="22" customHeight="1" s="138">
      <c r="A81" s="288" t="inlineStr">
        <is>
          <t>Aug 18</t>
        </is>
      </c>
      <c r="B81" s="289" t="inlineStr">
        <is>
          <t>Amex payment $10,000</t>
        </is>
      </c>
      <c r="C81" s="319" t="n">
        <v>10000</v>
      </c>
      <c r="D81" s="320" t="inlineStr">
        <is>
          <t>OUT</t>
        </is>
      </c>
      <c r="E81" s="289" t="inlineStr">
        <is>
          <t>Credit Card Pymt</t>
        </is>
      </c>
      <c r="F81" s="292" t="inlineStr">
        <is>
          <t>Large Amex payment — covers $6,000.50 Hormozi book bundle + other Aug charges.</t>
        </is>
      </c>
    </row>
    <row r="82" ht="22" customHeight="1" s="138">
      <c r="A82" s="280" t="inlineStr">
        <is>
          <t>Aug 28</t>
        </is>
      </c>
      <c r="B82" s="281" t="inlineStr">
        <is>
          <t>Paychex Payroll run 2: $4K + $19,001.40</t>
        </is>
      </c>
      <c r="C82" s="318" t="n">
        <v>23001.4</v>
      </c>
      <c r="D82" s="296" t="inlineStr">
        <is>
          <t>OUT</t>
        </is>
      </c>
      <c r="E82" s="281" t="inlineStr">
        <is>
          <t>Payroll</t>
        </is>
      </c>
      <c r="F82" s="284" t="inlineStr">
        <is>
          <t>Standard bi-monthly payroll.</t>
        </is>
      </c>
    </row>
    <row r="83" ht="22" customHeight="1" s="138">
      <c r="A83" s="288" t="inlineStr">
        <is>
          <t>Aug 11</t>
        </is>
      </c>
      <c r="B83" s="289" t="inlineStr">
        <is>
          <t>Zapier $560.64</t>
        </is>
      </c>
      <c r="C83" s="319" t="n">
        <v>560.64</v>
      </c>
      <c r="D83" s="320" t="inlineStr">
        <is>
          <t>OUT</t>
        </is>
      </c>
      <c r="E83" s="289" t="inlineStr">
        <is>
          <t>Software</t>
        </is>
      </c>
      <c r="F83" s="292" t="inlineStr">
        <is>
          <t>Monthly Zapier charge — deductible SaaS.</t>
        </is>
      </c>
    </row>
    <row r="84" ht="22" customHeight="1" s="138">
      <c r="A84" s="280" t="inlineStr">
        <is>
          <t>Aug 11</t>
        </is>
      </c>
      <c r="B84" s="281" t="inlineStr">
        <is>
          <t>SupportPDFFiller $144</t>
        </is>
      </c>
      <c r="C84" s="318" t="n">
        <v>144</v>
      </c>
      <c r="D84" s="296" t="inlineStr">
        <is>
          <t>OUT</t>
        </is>
      </c>
      <c r="E84" s="281" t="inlineStr">
        <is>
          <t>Software</t>
        </is>
      </c>
      <c r="F84" s="284" t="inlineStr">
        <is>
          <t>PDF editing tool — deductible software.</t>
        </is>
      </c>
    </row>
    <row r="86" ht="20" customHeight="1" s="138">
      <c r="A86" s="279" t="inlineStr">
        <is>
          <t>SEPTEMBER 2025 KEY TRANSACTIONS</t>
        </is>
      </c>
      <c r="B86" s="194" t="n"/>
      <c r="C86" s="194" t="n"/>
      <c r="D86" s="194" t="n"/>
      <c r="E86" s="194" t="n"/>
      <c r="F86" s="194" t="n"/>
      <c r="G86" s="277" t="n"/>
    </row>
    <row r="87" ht="22" customHeight="1" s="138">
      <c r="A87" s="256" t="inlineStr">
        <is>
          <t>Sep 12</t>
        </is>
      </c>
      <c r="B87" s="285" t="inlineStr">
        <is>
          <t>Identity Intelli (IDIQ) $7,455</t>
        </is>
      </c>
      <c r="C87" s="286" t="n">
        <v>7455</v>
      </c>
      <c r="D87" s="259" t="inlineStr">
        <is>
          <t>IN</t>
        </is>
      </c>
      <c r="E87" s="285" t="inlineStr">
        <is>
          <t>IDIQ Revenue</t>
        </is>
      </c>
      <c r="F87" s="287" t="inlineStr">
        <is>
          <t>Notable dip — down from $10,360 in July and $9,205 in Aug. Watch trend.</t>
        </is>
      </c>
    </row>
    <row r="88" ht="22" customHeight="1" s="138">
      <c r="A88" s="280" t="inlineStr">
        <is>
          <t>Sep 12</t>
        </is>
      </c>
      <c r="B88" s="281" t="inlineStr">
        <is>
          <t>$3,500 transfer to personal — "Idiq"</t>
        </is>
      </c>
      <c r="C88" s="318" t="n">
        <v>3500</v>
      </c>
      <c r="D88" s="296" t="inlineStr">
        <is>
          <t>OUT</t>
        </is>
      </c>
      <c r="E88" s="281" t="inlineStr">
        <is>
          <t>Owner Draw</t>
        </is>
      </c>
      <c r="F88" s="284" t="inlineStr">
        <is>
          <t>IDIQ distribution to personal. Less than usual — possibly partial.</t>
        </is>
      </c>
    </row>
    <row r="89" ht="22" customHeight="1" s="138">
      <c r="A89" s="288" t="inlineStr">
        <is>
          <t>Sep 12</t>
        </is>
      </c>
      <c r="B89" s="289" t="inlineStr">
        <is>
          <t>Paychex Payroll run 1: $4K + $24,418.29</t>
        </is>
      </c>
      <c r="C89" s="319" t="n">
        <v>28418.29</v>
      </c>
      <c r="D89" s="320" t="inlineStr">
        <is>
          <t>OUT</t>
        </is>
      </c>
      <c r="E89" s="289" t="inlineStr">
        <is>
          <t>Payroll</t>
        </is>
      </c>
      <c r="F89" s="292" t="inlineStr">
        <is>
          <t>Standard bi-monthly payroll.</t>
        </is>
      </c>
    </row>
    <row r="90" ht="22" customHeight="1" s="138">
      <c r="A90" s="280" t="inlineStr">
        <is>
          <t>Sep 15</t>
        </is>
      </c>
      <c r="B90" s="281" t="inlineStr">
        <is>
          <t>Amex payment $12,000 + Chase $6,222.85</t>
        </is>
      </c>
      <c r="C90" s="318" t="n">
        <v>18222.85</v>
      </c>
      <c r="D90" s="296" t="inlineStr">
        <is>
          <t>OUT</t>
        </is>
      </c>
      <c r="E90" s="281" t="inlineStr">
        <is>
          <t>Credit Card Pymts</t>
        </is>
      </c>
      <c r="F90" s="284" t="inlineStr">
        <is>
          <t>Large Amex paydown ($12K) + Chase ($6,222.85) same day.</t>
        </is>
      </c>
    </row>
    <row r="91" ht="22" customHeight="1" s="138">
      <c r="A91" s="288" t="inlineStr">
        <is>
          <t>Sep 12</t>
        </is>
      </c>
      <c r="B91" s="289" t="inlineStr">
        <is>
          <t>Zelle to Del — "Full Refund of Services" $499</t>
        </is>
      </c>
      <c r="C91" s="319" t="n">
        <v>499</v>
      </c>
      <c r="D91" s="320" t="inlineStr">
        <is>
          <t>OUT</t>
        </is>
      </c>
      <c r="E91" s="289" t="inlineStr">
        <is>
          <t>Client Refund</t>
        </is>
      </c>
      <c r="F91" s="292" t="inlineStr">
        <is>
          <t>Client refund — contra-revenue per CPA.</t>
        </is>
      </c>
    </row>
    <row r="92" ht="22" customHeight="1" s="138">
      <c r="A92" s="280" t="inlineStr">
        <is>
          <t>Sep 22</t>
        </is>
      </c>
      <c r="B92" s="281" t="inlineStr">
        <is>
          <t>Claude.ai subscription $20</t>
        </is>
      </c>
      <c r="C92" s="318" t="n">
        <v>20</v>
      </c>
      <c r="D92" s="296" t="inlineStr">
        <is>
          <t>OUT</t>
        </is>
      </c>
      <c r="E92" s="281" t="inlineStr">
        <is>
          <t>Software</t>
        </is>
      </c>
      <c r="F92" s="284" t="inlineStr">
        <is>
          <t>✅ AI tool subscription — fully deductible SaaS. Recurring monthly Sep–Nov confirmed.</t>
        </is>
      </c>
    </row>
    <row r="93" ht="22" customHeight="1" s="138">
      <c r="A93" s="288" t="inlineStr">
        <is>
          <t>Sep 26</t>
        </is>
      </c>
      <c r="B93" s="289" t="inlineStr">
        <is>
          <t>Disputely invoice payment $100</t>
        </is>
      </c>
      <c r="C93" s="319" t="n">
        <v>100</v>
      </c>
      <c r="D93" s="320" t="inlineStr">
        <is>
          <t>OUT</t>
        </is>
      </c>
      <c r="E93" s="289" t="inlineStr">
        <is>
          <t>Software/Service</t>
        </is>
      </c>
      <c r="F93" s="292" t="inlineStr">
        <is>
          <t>New vendor — "Disputely" appears to be dispute letter software. Deductible.</t>
        </is>
      </c>
    </row>
    <row r="94" ht="22" customHeight="1" s="138">
      <c r="A94" s="280" t="inlineStr">
        <is>
          <t>Sep 30</t>
        </is>
      </c>
      <c r="B94" s="281" t="inlineStr">
        <is>
          <t>Paychex Payroll run 2: $4K + $19,005</t>
        </is>
      </c>
      <c r="C94" s="318" t="n">
        <v>23005</v>
      </c>
      <c r="D94" s="296" t="inlineStr">
        <is>
          <t>OUT</t>
        </is>
      </c>
      <c r="E94" s="281" t="inlineStr">
        <is>
          <t>Payroll</t>
        </is>
      </c>
      <c r="F94" s="284" t="inlineStr">
        <is>
          <t>Standard bi-monthly payroll.</t>
        </is>
      </c>
    </row>
    <row r="95" ht="22" customHeight="1" s="138">
      <c r="A95" s="288" t="inlineStr">
        <is>
          <t>Sep 10</t>
        </is>
      </c>
      <c r="B95" s="289" t="inlineStr">
        <is>
          <t>Zapier $491.91</t>
        </is>
      </c>
      <c r="C95" s="319" t="n">
        <v>491.91</v>
      </c>
      <c r="D95" s="320" t="inlineStr">
        <is>
          <t>OUT</t>
        </is>
      </c>
      <c r="E95" s="289" t="inlineStr">
        <is>
          <t>Software</t>
        </is>
      </c>
      <c r="F95" s="292" t="inlineStr">
        <is>
          <t>Monthly Zapier — deductible.</t>
        </is>
      </c>
    </row>
    <row r="97" ht="20" customHeight="1" s="138">
      <c r="A97" s="279" t="inlineStr">
        <is>
          <t>OCTOBER 2025 KEY TRANSACTIONS</t>
        </is>
      </c>
      <c r="B97" s="194" t="n"/>
      <c r="C97" s="194" t="n"/>
      <c r="D97" s="194" t="n"/>
      <c r="E97" s="194" t="n"/>
      <c r="F97" s="194" t="n"/>
      <c r="G97" s="277" t="n"/>
    </row>
    <row r="98" ht="22" customHeight="1" s="138">
      <c r="A98" s="256" t="inlineStr">
        <is>
          <t>Oct 10</t>
        </is>
      </c>
      <c r="B98" s="285" t="inlineStr">
        <is>
          <t>IDIQ $6,545 (now labeled "Idiqgrp Payment")</t>
        </is>
      </c>
      <c r="C98" s="286" t="n">
        <v>6545</v>
      </c>
      <c r="D98" s="259" t="inlineStr">
        <is>
          <t>IN</t>
        </is>
      </c>
      <c r="E98" s="285" t="inlineStr">
        <is>
          <t>IDIQ Revenue</t>
        </is>
      </c>
      <c r="F98" s="287" t="inlineStr">
        <is>
          <t>⚠️ Payer description changed from "Identity Intelli" to "Idiqgrp" — same payer, different ACH descriptor. Confirm with CPA this is same income source.</t>
        </is>
      </c>
    </row>
    <row r="99" ht="22" customHeight="1" s="138">
      <c r="A99" s="288" t="inlineStr">
        <is>
          <t>Oct 14</t>
        </is>
      </c>
      <c r="B99" s="289" t="inlineStr">
        <is>
          <t>Paychex Payroll run 1: $4K + $21,742.59</t>
        </is>
      </c>
      <c r="C99" s="319" t="n">
        <v>25742.59</v>
      </c>
      <c r="D99" s="320" t="inlineStr">
        <is>
          <t>OUT</t>
        </is>
      </c>
      <c r="E99" s="289" t="inlineStr">
        <is>
          <t>Payroll</t>
        </is>
      </c>
      <c r="F99" s="292" t="inlineStr">
        <is>
          <t>Standard bi-monthly payroll.</t>
        </is>
      </c>
    </row>
    <row r="100" ht="22" customHeight="1" s="138">
      <c r="A100" s="280" t="inlineStr">
        <is>
          <t>Oct 23</t>
        </is>
      </c>
      <c r="B100" s="281" t="inlineStr">
        <is>
          <t>3× Amex payments $5,000 each = $15,000 in one day</t>
        </is>
      </c>
      <c r="C100" s="282" t="n">
        <v>15000</v>
      </c>
      <c r="D100" s="283" t="inlineStr">
        <is>
          <t>OUT</t>
        </is>
      </c>
      <c r="E100" s="281" t="inlineStr">
        <is>
          <t>Credit Card Pymts</t>
        </is>
      </c>
      <c r="F100" s="284" t="inlineStr">
        <is>
          <t>⚠️ Three separate $5K Amex ACH payments same day (10/23) + $375 (10/24) = $15,375 total. Large paydown — likely paying down carried balance.</t>
        </is>
      </c>
    </row>
    <row r="101" ht="22" customHeight="1" s="138">
      <c r="A101" s="288" t="inlineStr">
        <is>
          <t>Oct 2</t>
        </is>
      </c>
      <c r="B101" s="289" t="inlineStr">
        <is>
          <t>Payoneer to Griselda Lopez $528.88</t>
        </is>
      </c>
      <c r="C101" s="319" t="n">
        <v>528.88</v>
      </c>
      <c r="D101" s="320" t="inlineStr">
        <is>
          <t>OUT</t>
        </is>
      </c>
      <c r="E101" s="289" t="inlineStr">
        <is>
          <t>Contractor Pay</t>
        </is>
      </c>
      <c r="F101" s="292" t="inlineStr">
        <is>
          <t>Named contractor — Griselda Lopez. 1099-NEC required if total &gt;$600 for 2025. Track YTD total.</t>
        </is>
      </c>
    </row>
    <row r="102" ht="22" customHeight="1" s="138">
      <c r="A102" s="280" t="inlineStr">
        <is>
          <t>Oct 3</t>
        </is>
      </c>
      <c r="B102" s="281" t="inlineStr">
        <is>
          <t>Zelle to Delarosa Eric $20</t>
        </is>
      </c>
      <c r="C102" s="318" t="n">
        <v>20</v>
      </c>
      <c r="D102" s="296" t="inlineStr">
        <is>
          <t>OUT</t>
        </is>
      </c>
      <c r="E102" s="281" t="inlineStr">
        <is>
          <t>Employee/Staff</t>
        </is>
      </c>
      <c r="F102" s="284" t="inlineStr">
        <is>
          <t>Small Zelle to Eric De La Rosa (consultant) — likely expense reimbursement.</t>
        </is>
      </c>
    </row>
    <row r="103" ht="22" customHeight="1" s="138">
      <c r="A103" s="288" t="inlineStr">
        <is>
          <t>Oct 16</t>
        </is>
      </c>
      <c r="B103" s="289" t="inlineStr">
        <is>
          <t>Zelle to Ramy — Affiliate Payout $100</t>
        </is>
      </c>
      <c r="C103" s="319" t="n">
        <v>100</v>
      </c>
      <c r="D103" s="320" t="inlineStr">
        <is>
          <t>OUT</t>
        </is>
      </c>
      <c r="E103" s="289" t="inlineStr">
        <is>
          <t>Affiliate</t>
        </is>
      </c>
      <c r="F103" s="292" t="inlineStr">
        <is>
          <t>Affiliate payout — deductible commission.</t>
        </is>
      </c>
    </row>
    <row r="104" ht="22" customHeight="1" s="138">
      <c r="A104" s="280" t="inlineStr">
        <is>
          <t>Oct 30</t>
        </is>
      </c>
      <c r="B104" s="281" t="inlineStr">
        <is>
          <t>Paychex Payroll run 2: $4K + $17,809.67</t>
        </is>
      </c>
      <c r="C104" s="318" t="n">
        <v>21809.67</v>
      </c>
      <c r="D104" s="296" t="inlineStr">
        <is>
          <t>OUT</t>
        </is>
      </c>
      <c r="E104" s="281" t="inlineStr">
        <is>
          <t>Payroll</t>
        </is>
      </c>
      <c r="F104" s="284" t="inlineStr">
        <is>
          <t>Standard bi-monthly payroll.</t>
        </is>
      </c>
    </row>
    <row r="105" ht="22" customHeight="1" s="138">
      <c r="A105" s="288" t="inlineStr">
        <is>
          <t>Oct 10</t>
        </is>
      </c>
      <c r="B105" s="289" t="inlineStr">
        <is>
          <t>Zapier $420.87</t>
        </is>
      </c>
      <c r="C105" s="319" t="n">
        <v>420.87</v>
      </c>
      <c r="D105" s="320" t="inlineStr">
        <is>
          <t>OUT</t>
        </is>
      </c>
      <c r="E105" s="289" t="inlineStr">
        <is>
          <t>Software</t>
        </is>
      </c>
      <c r="F105" s="292" t="inlineStr">
        <is>
          <t>Monthly Zapier — deductible.</t>
        </is>
      </c>
    </row>
    <row r="106" ht="22" customHeight="1" s="138">
      <c r="A106" s="280" t="inlineStr">
        <is>
          <t>Oct 9</t>
        </is>
      </c>
      <c r="B106" s="281" t="inlineStr">
        <is>
          <t>IRCSRX Inc $29.99 — new vendor</t>
        </is>
      </c>
      <c r="C106" s="282" t="n">
        <v>29.99</v>
      </c>
      <c r="D106" s="283" t="inlineStr">
        <is>
          <t>OUT</t>
        </is>
      </c>
      <c r="E106" s="281" t="inlineStr">
        <is>
          <t>⚠️ CLARIFY</t>
        </is>
      </c>
      <c r="F106" s="284" t="inlineStr">
        <is>
          <t>⚠️ Unknown vendor "IRCSRX Inc" — small charge but flag for CPA. Likely credit-related SaaS tool.</t>
        </is>
      </c>
    </row>
    <row r="108" ht="20" customHeight="1" s="138">
      <c r="A108" s="279" t="inlineStr">
        <is>
          <t>NOVEMBER 2025 KEY TRANSACTIONS</t>
        </is>
      </c>
      <c r="B108" s="194" t="n"/>
      <c r="C108" s="194" t="n"/>
      <c r="D108" s="194" t="n"/>
      <c r="E108" s="194" t="n"/>
      <c r="F108" s="194" t="n"/>
      <c r="G108" s="277" t="n"/>
    </row>
    <row r="109" ht="22" customHeight="1" s="138">
      <c r="A109" s="256" t="inlineStr">
        <is>
          <t>Nov 13</t>
        </is>
      </c>
      <c r="B109" s="285" t="inlineStr">
        <is>
          <t>IDIQ $6,160 ("Idiqgrp Payment")</t>
        </is>
      </c>
      <c r="C109" s="286" t="n">
        <v>6160</v>
      </c>
      <c r="D109" s="259" t="inlineStr">
        <is>
          <t>IN</t>
        </is>
      </c>
      <c r="E109" s="285" t="inlineStr">
        <is>
          <t>IDIQ Revenue</t>
        </is>
      </c>
      <c r="F109" s="287" t="inlineStr">
        <is>
          <t>Continued soft trend — 4th consecutive month of decline from July $10,360 peak.</t>
        </is>
      </c>
    </row>
    <row r="110" ht="22" customHeight="1" s="138">
      <c r="A110" s="280" t="inlineStr">
        <is>
          <t>Nov 13</t>
        </is>
      </c>
      <c r="B110" s="281" t="inlineStr">
        <is>
          <t>Paychex Payroll run 1: $4K + $22,508.70</t>
        </is>
      </c>
      <c r="C110" s="318" t="n">
        <v>26508.7</v>
      </c>
      <c r="D110" s="296" t="inlineStr">
        <is>
          <t>OUT</t>
        </is>
      </c>
      <c r="E110" s="281" t="inlineStr">
        <is>
          <t>Payroll</t>
        </is>
      </c>
      <c r="F110" s="284" t="inlineStr">
        <is>
          <t>Standard bi-monthly payroll.</t>
        </is>
      </c>
    </row>
    <row r="111" ht="22" customHeight="1" s="138">
      <c r="A111" s="288" t="inlineStr">
        <is>
          <t>Nov 26</t>
        </is>
      </c>
      <c r="B111" s="289" t="inlineStr">
        <is>
          <t>6× Remitly contractor payments = $3,988.85</t>
        </is>
      </c>
      <c r="C111" s="319" t="n">
        <v>3988.85</v>
      </c>
      <c r="D111" s="320" t="inlineStr">
        <is>
          <t>OUT</t>
        </is>
      </c>
      <c r="E111" s="289" t="inlineStr">
        <is>
          <t>Contractor Pay</t>
        </is>
      </c>
      <c r="F111" s="292" t="inlineStr">
        <is>
          <t>Large batch of Remitly international payments in one day — deductible contract labor.</t>
        </is>
      </c>
    </row>
    <row r="112" ht="22" customHeight="1" s="138">
      <c r="A112" s="280" t="inlineStr">
        <is>
          <t>Nov 12</t>
        </is>
      </c>
      <c r="B112" s="281" t="inlineStr">
        <is>
          <t>Harland Clarke check reorder $306.86</t>
        </is>
      </c>
      <c r="C112" s="318" t="n">
        <v>306.86</v>
      </c>
      <c r="D112" s="296" t="inlineStr">
        <is>
          <t>OUT</t>
        </is>
      </c>
      <c r="E112" s="281" t="inlineStr">
        <is>
          <t>Office Supplies</t>
        </is>
      </c>
      <c r="F112" s="284" t="inlineStr">
        <is>
          <t>Business check printing — deductible office supply.</t>
        </is>
      </c>
    </row>
    <row r="113" ht="22" customHeight="1" s="138">
      <c r="A113" s="288" t="inlineStr">
        <is>
          <t>Nov 21</t>
        </is>
      </c>
      <c r="B113" s="289" t="inlineStr">
        <is>
          <t>Claude.ai subscription $20</t>
        </is>
      </c>
      <c r="C113" s="319" t="n">
        <v>20</v>
      </c>
      <c r="D113" s="320" t="inlineStr">
        <is>
          <t>OUT</t>
        </is>
      </c>
      <c r="E113" s="289" t="inlineStr">
        <is>
          <t>Software</t>
        </is>
      </c>
      <c r="F113" s="292" t="inlineStr">
        <is>
          <t>✅ Deductible AI subscription.</t>
        </is>
      </c>
    </row>
    <row r="114" ht="22" customHeight="1" s="138">
      <c r="A114" s="280" t="inlineStr">
        <is>
          <t>Nov 28</t>
        </is>
      </c>
      <c r="B114" s="281" t="inlineStr">
        <is>
          <t>Paychex Payroll run 2: $4K + $17,739.56</t>
        </is>
      </c>
      <c r="C114" s="318" t="n">
        <v>21739.56</v>
      </c>
      <c r="D114" s="296" t="inlineStr">
        <is>
          <t>OUT</t>
        </is>
      </c>
      <c r="E114" s="281" t="inlineStr">
        <is>
          <t>Payroll</t>
        </is>
      </c>
      <c r="F114" s="284" t="inlineStr">
        <is>
          <t>Standard bi-monthly payroll.</t>
        </is>
      </c>
    </row>
    <row r="115" ht="22" customHeight="1" s="138">
      <c r="A115" s="288" t="inlineStr">
        <is>
          <t>Nov 28</t>
        </is>
      </c>
      <c r="B115" s="289" t="inlineStr">
        <is>
          <t>Amex payment $1,502.87</t>
        </is>
      </c>
      <c r="C115" s="319" t="n">
        <v>1502.87</v>
      </c>
      <c r="D115" s="320" t="inlineStr">
        <is>
          <t>OUT</t>
        </is>
      </c>
      <c r="E115" s="289" t="inlineStr">
        <is>
          <t>Credit Card Pymt</t>
        </is>
      </c>
      <c r="F115" s="292" t="inlineStr">
        <is>
          <t>Partial Amex payment.</t>
        </is>
      </c>
    </row>
    <row r="116" ht="22" customHeight="1" s="138">
      <c r="A116" s="280" t="inlineStr">
        <is>
          <t>Nov 10</t>
        </is>
      </c>
      <c r="B116" s="281" t="inlineStr">
        <is>
          <t>Zapier $426.36</t>
        </is>
      </c>
      <c r="C116" s="318" t="n">
        <v>426.36</v>
      </c>
      <c r="D116" s="296" t="inlineStr">
        <is>
          <t>OUT</t>
        </is>
      </c>
      <c r="E116" s="281" t="inlineStr">
        <is>
          <t>Software</t>
        </is>
      </c>
      <c r="F116" s="284" t="inlineStr">
        <is>
          <t>Monthly Zapier — deductible.</t>
        </is>
      </c>
    </row>
    <row r="117" ht="22" customHeight="1" s="138">
      <c r="A117" s="288" t="inlineStr">
        <is>
          <t>Nov 25</t>
        </is>
      </c>
      <c r="B117" s="289" t="inlineStr">
        <is>
          <t>Zelle to Roth — Affiliate Payout $200</t>
        </is>
      </c>
      <c r="C117" s="319" t="n">
        <v>200</v>
      </c>
      <c r="D117" s="320" t="inlineStr">
        <is>
          <t>OUT</t>
        </is>
      </c>
      <c r="E117" s="289" t="inlineStr">
        <is>
          <t>Affiliate</t>
        </is>
      </c>
      <c r="F117" s="292" t="inlineStr">
        <is>
          <t>Affiliate payout — deductible commission.</t>
        </is>
      </c>
    </row>
    <row r="118" ht="22" customHeight="1" s="138">
      <c r="A118" s="280" t="inlineStr">
        <is>
          <t>Nov 17</t>
        </is>
      </c>
      <c r="B118" s="281" t="inlineStr">
        <is>
          <t>Zelle to Leon Luisa — Affiliate Payout $50</t>
        </is>
      </c>
      <c r="C118" s="318" t="n">
        <v>50</v>
      </c>
      <c r="D118" s="296" t="inlineStr">
        <is>
          <t>OUT</t>
        </is>
      </c>
      <c r="E118" s="281" t="inlineStr">
        <is>
          <t>Affiliate</t>
        </is>
      </c>
      <c r="F118" s="284" t="inlineStr">
        <is>
          <t>Affiliate payout — deductible commission.</t>
        </is>
      </c>
    </row>
    <row r="120" ht="40" customHeight="1" s="138">
      <c r="A120" s="268" t="inlineStr">
        <is>
          <t>📈  IDIQ YTD TREND (Jan–Nov): $4,200 → $6,125 → $6,965 → $9,520 → $9,765 → $9,205 → $10,360 → $9,205 → $7,455 → $6,545 → $6,160.  YTD Total through Nov = $85,505.  ⚠️ Clear softening since July peak — flag for CPA discussion. Dec needed to close out.</t>
        </is>
      </c>
      <c r="B120" s="194" t="n"/>
      <c r="C120" s="194" t="n"/>
      <c r="D120" s="194" t="n"/>
      <c r="E120" s="194" t="n"/>
      <c r="F120" s="194" t="n"/>
      <c r="G120" s="277" t="n"/>
    </row>
    <row r="122" ht="20" customHeight="1" s="138">
      <c r="A122" s="279" t="inlineStr">
        <is>
          <t>DECEMBER 2025 KEY TRANSACTIONS</t>
        </is>
      </c>
      <c r="B122" s="194" t="n"/>
      <c r="C122" s="194" t="n"/>
      <c r="D122" s="194" t="n"/>
      <c r="E122" s="194" t="n"/>
      <c r="F122" s="194" t="n"/>
      <c r="G122" s="277" t="n"/>
    </row>
    <row r="123" ht="22" customHeight="1" s="138">
      <c r="A123" s="256" t="inlineStr">
        <is>
          <t>Dec 12</t>
        </is>
      </c>
      <c r="B123" s="285" t="inlineStr">
        <is>
          <t>IDIQ $5,075 ("Idiqgrp Payment")</t>
        </is>
      </c>
      <c r="C123" s="286" t="n">
        <v>5075</v>
      </c>
      <c r="D123" s="259" t="inlineStr">
        <is>
          <t>IN</t>
        </is>
      </c>
      <c r="E123" s="285" t="inlineStr">
        <is>
          <t>IDIQ Revenue</t>
        </is>
      </c>
      <c r="F123" s="287" t="inlineStr">
        <is>
          <t>New low for the year. Full year IDIQ total = $90,580. See trend note below.</t>
        </is>
      </c>
    </row>
    <row r="124" ht="22" customHeight="1" s="138">
      <c r="A124" s="280" t="inlineStr">
        <is>
          <t>Dec 12</t>
        </is>
      </c>
      <c r="B124" s="281" t="inlineStr">
        <is>
          <t>Paychex Payroll run 1: $4K + $19,516.95</t>
        </is>
      </c>
      <c r="C124" s="318" t="n">
        <v>23516.95</v>
      </c>
      <c r="D124" s="296" t="inlineStr">
        <is>
          <t>OUT</t>
        </is>
      </c>
      <c r="E124" s="281" t="inlineStr">
        <is>
          <t>Payroll</t>
        </is>
      </c>
      <c r="F124" s="284" t="inlineStr">
        <is>
          <t>Standard bi-monthly payroll.</t>
        </is>
      </c>
    </row>
    <row r="125" ht="22" customHeight="1" s="138">
      <c r="A125" s="288" t="inlineStr">
        <is>
          <t>Dec 30</t>
        </is>
      </c>
      <c r="B125" s="289" t="inlineStr">
        <is>
          <t>Paychex Payroll run 2: $4K + $17,739.56</t>
        </is>
      </c>
      <c r="C125" s="319" t="n">
        <v>21739.56</v>
      </c>
      <c r="D125" s="320" t="inlineStr">
        <is>
          <t>OUT</t>
        </is>
      </c>
      <c r="E125" s="289" t="inlineStr">
        <is>
          <t>Payroll</t>
        </is>
      </c>
      <c r="F125" s="292" t="inlineStr">
        <is>
          <t>Standard bi-monthly payroll.</t>
        </is>
      </c>
    </row>
    <row r="126" ht="22" customHeight="1" s="138">
      <c r="A126" s="280" t="inlineStr">
        <is>
          <t>Dec 1</t>
        </is>
      </c>
      <c r="B126" s="281" t="inlineStr">
        <is>
          <t>Claude.ai $85.41 + Dec 4 $117.67</t>
        </is>
      </c>
      <c r="C126" s="282" t="n">
        <v>203.08</v>
      </c>
      <c r="D126" s="283" t="inlineStr">
        <is>
          <t>OUT</t>
        </is>
      </c>
      <c r="E126" s="281" t="inlineStr">
        <is>
          <t>Software</t>
        </is>
      </c>
      <c r="F126" s="284" t="inlineStr">
        <is>
          <t>⚠️ Claude.ai jumped from $20/mo (Sep–Nov) to $85.41 + $117.67 in December = $203.08. Likely upgraded to a higher plan or team seats added. Fully deductible — just note the increase.</t>
        </is>
      </c>
    </row>
    <row r="127" ht="22" customHeight="1" s="138">
      <c r="A127" s="288" t="inlineStr">
        <is>
          <t>Dec 17</t>
        </is>
      </c>
      <c r="B127" s="289" t="inlineStr">
        <is>
          <t>Customers.ai $600</t>
        </is>
      </c>
      <c r="C127" s="319" t="n">
        <v>600</v>
      </c>
      <c r="D127" s="320" t="inlineStr">
        <is>
          <t>OUT</t>
        </is>
      </c>
      <c r="E127" s="289" t="inlineStr">
        <is>
          <t>Software/Marketing</t>
        </is>
      </c>
      <c r="F127" s="292" t="inlineStr">
        <is>
          <t>New vendor: Customers.ai — AI marketing/lead generation platform. Deductible SaaS/advertising tool.</t>
        </is>
      </c>
    </row>
    <row r="128" ht="22" customHeight="1" s="138">
      <c r="A128" s="280" t="inlineStr">
        <is>
          <t>Dec 16</t>
        </is>
      </c>
      <c r="B128" s="281" t="inlineStr">
        <is>
          <t>Instantly.ai $97 (refunded same day) + $97 (Dec 17)</t>
        </is>
      </c>
      <c r="C128" s="318" t="n">
        <v>97</v>
      </c>
      <c r="D128" s="296" t="inlineStr">
        <is>
          <t>OUT</t>
        </is>
      </c>
      <c r="E128" s="281" t="inlineStr">
        <is>
          <t>Software/Marketing</t>
        </is>
      </c>
      <c r="F128" s="284" t="inlineStr">
        <is>
          <t>Instantly.ai email outreach tool — $97 on 12/16 refunded 12/18, $97 on 12/17 = net $97 charge. Deductible.</t>
        </is>
      </c>
    </row>
    <row r="129" ht="22" customHeight="1" s="138">
      <c r="A129" s="288" t="inlineStr">
        <is>
          <t>Dec 23</t>
        </is>
      </c>
      <c r="B129" s="289" t="inlineStr">
        <is>
          <t>Surety Bonds.com $375</t>
        </is>
      </c>
      <c r="C129" s="319" t="n">
        <v>375</v>
      </c>
      <c r="D129" s="320" t="inlineStr">
        <is>
          <t>OUT</t>
        </is>
      </c>
      <c r="E129" s="289" t="inlineStr">
        <is>
          <t>Business License</t>
        </is>
      </c>
      <c r="F129" s="292" t="inlineStr">
        <is>
          <t>Business surety bond — deductible business expense. Keep as documentation.</t>
        </is>
      </c>
    </row>
    <row r="130" ht="22" customHeight="1" s="138">
      <c r="A130" s="280" t="inlineStr">
        <is>
          <t>Dec 9</t>
        </is>
      </c>
      <c r="B130" s="281" t="inlineStr">
        <is>
          <t>Loom subscription $24</t>
        </is>
      </c>
      <c r="C130" s="318" t="n">
        <v>24</v>
      </c>
      <c r="D130" s="296" t="inlineStr">
        <is>
          <t>OUT</t>
        </is>
      </c>
      <c r="E130" s="281" t="inlineStr">
        <is>
          <t>Software</t>
        </is>
      </c>
      <c r="F130" s="284" t="inlineStr">
        <is>
          <t>Loom (video messaging tool) — deductible SaaS.</t>
        </is>
      </c>
    </row>
    <row r="131" ht="22" customHeight="1" s="138">
      <c r="A131" s="288" t="inlineStr">
        <is>
          <t>Dec 15</t>
        </is>
      </c>
      <c r="B131" s="289" t="inlineStr">
        <is>
          <t>ME-Katy-Micros $239.18</t>
        </is>
      </c>
      <c r="C131" s="290" t="n">
        <v>239.18</v>
      </c>
      <c r="D131" s="291" t="inlineStr">
        <is>
          <t>OUT</t>
        </is>
      </c>
      <c r="E131" s="289" t="inlineStr">
        <is>
          <t>⚠️ CLARIFY</t>
        </is>
      </c>
      <c r="F131" s="292" t="inlineStr">
        <is>
          <t>⚠️ Same "ME-Katy" charges as in Dec 11. Likely medical/dental — personal expense on business card. CPA should exclude.</t>
        </is>
      </c>
    </row>
    <row r="132" ht="22" customHeight="1" s="138">
      <c r="A132" s="280" t="inlineStr">
        <is>
          <t>Dec 23</t>
        </is>
      </c>
      <c r="B132" s="281" t="inlineStr">
        <is>
          <t>SamsClub $644.30</t>
        </is>
      </c>
      <c r="C132" s="318" t="n">
        <v>644.3</v>
      </c>
      <c r="D132" s="296" t="inlineStr">
        <is>
          <t>OUT</t>
        </is>
      </c>
      <c r="E132" s="281" t="inlineStr">
        <is>
          <t>⚠️ Mixed</t>
        </is>
      </c>
      <c r="F132" s="284" t="inlineStr">
        <is>
          <t>Sam's Club — could be office supplies or personal. Keep receipt to separate. Flag for CPA.</t>
        </is>
      </c>
    </row>
    <row r="133" ht="22" customHeight="1" s="138">
      <c r="A133" s="288" t="inlineStr">
        <is>
          <t>Dec 10</t>
        </is>
      </c>
      <c r="B133" s="289" t="inlineStr">
        <is>
          <t>5× Remitly batch + Dec 12 + Dec 26 4× + Dec 29 2× + Dec 30</t>
        </is>
      </c>
      <c r="C133" s="319" t="n">
        <v>5866.08</v>
      </c>
      <c r="D133" s="320" t="inlineStr">
        <is>
          <t>OUT</t>
        </is>
      </c>
      <c r="E133" s="289" t="inlineStr">
        <is>
          <t>Contractor Pay</t>
        </is>
      </c>
      <c r="F133" s="292" t="inlineStr">
        <is>
          <t>Multiple Remitly contractor batches throughout December. All deductible international contractor payments.</t>
        </is>
      </c>
    </row>
    <row r="134" ht="22" customHeight="1" s="138">
      <c r="A134" s="280" t="inlineStr">
        <is>
          <t>Dec 22</t>
        </is>
      </c>
      <c r="B134" s="281" t="inlineStr">
        <is>
          <t>Anthropic direct charge $5.33</t>
        </is>
      </c>
      <c r="C134" s="318" t="n">
        <v>5.33</v>
      </c>
      <c r="D134" s="296" t="inlineStr">
        <is>
          <t>OUT</t>
        </is>
      </c>
      <c r="E134" s="281" t="inlineStr">
        <is>
          <t>Software</t>
        </is>
      </c>
      <c r="F134" s="284" t="inlineStr">
        <is>
          <t>Direct Anthropic API charge (separate from Claude.ai subscription) — deductible AI/software tool.</t>
        </is>
      </c>
    </row>
    <row r="135" ht="22" customHeight="1" s="138">
      <c r="A135" s="288" t="inlineStr">
        <is>
          <t>Dec 22</t>
        </is>
      </c>
      <c r="B135" s="289" t="inlineStr">
        <is>
          <t>OpenAI ChatGPT $21.28</t>
        </is>
      </c>
      <c r="C135" s="319" t="n">
        <v>21.28</v>
      </c>
      <c r="D135" s="320" t="inlineStr">
        <is>
          <t>OUT</t>
        </is>
      </c>
      <c r="E135" s="289" t="inlineStr">
        <is>
          <t>Software</t>
        </is>
      </c>
      <c r="F135" s="292" t="inlineStr">
        <is>
          <t>ChatGPT subscription — deductible AI tool.</t>
        </is>
      </c>
    </row>
    <row r="137" ht="60" customHeight="1" s="138">
      <c r="A137" s="293" t="inlineStr">
        <is>
          <t>🏁  FULL YEAR COMPLETE — 2025 BANK STATEMENTS ALL 12 MONTHS CONFIRMED
Total Deposits: $1,233,591.99  |  Total Withdrawals: $1,243,601.04  |  Net: $-10,009.05  |  Ending Balance Dec 31: $87,375.51
IDIQ Full Year: $4,200+$6,125+$6,965+$9,520+$9,765+$9,205+$10,360+$9,205+$7,455+$6,545+$6,160+$5,075 = $90,580
⚠️ IDIQ peaked Jul ($10,360) and declined 5 straight months to Dec ($5,075) — down 51% from peak. CPA should discuss annualized vs actual for 2026 planning.</t>
        </is>
      </c>
      <c r="B137" s="194" t="n"/>
      <c r="C137" s="194" t="n"/>
      <c r="D137" s="194" t="n"/>
      <c r="E137" s="194" t="n"/>
      <c r="F137" s="194" t="n"/>
      <c r="G137" s="277" t="n"/>
    </row>
  </sheetData>
  <mergeCells count="17">
    <mergeCell ref="A61:G61"/>
    <mergeCell ref="A1:G1"/>
    <mergeCell ref="A97:G97"/>
    <mergeCell ref="A120:G120"/>
    <mergeCell ref="A122:G122"/>
    <mergeCell ref="A50:G50"/>
    <mergeCell ref="A48:G48"/>
    <mergeCell ref="A20:G20"/>
    <mergeCell ref="A2:G2"/>
    <mergeCell ref="A86:G86"/>
    <mergeCell ref="A137:G137"/>
    <mergeCell ref="A60:G60"/>
    <mergeCell ref="A73:G73"/>
    <mergeCell ref="A108:G108"/>
    <mergeCell ref="A63:G63"/>
    <mergeCell ref="A47:G47"/>
    <mergeCell ref="A75:G7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4" customWidth="1" style="138" min="1" max="1"/>
    <col width="35" customWidth="1" style="138" min="2" max="2"/>
    <col width="14" customWidth="1" style="138" min="3" max="3"/>
    <col width="18" customWidth="1" style="138" min="4" max="4"/>
    <col width="20" customWidth="1" style="138" min="5" max="5"/>
    <col width="14" customWidth="1" style="138" min="6" max="6"/>
    <col width="40" customWidth="1" style="138" min="7" max="7"/>
  </cols>
  <sheetData>
    <row r="1" ht="24" customHeight="1" s="138">
      <c r="A1" s="294" t="inlineStr">
        <is>
          <t>2025 ASAP CREDIT REPAIR LLC — NOTABLE BUSINESS EXPENSES (DEDUCTIBLE)</t>
        </is>
      </c>
      <c r="B1" s="194" t="n"/>
      <c r="C1" s="194" t="n"/>
      <c r="D1" s="194" t="n"/>
      <c r="E1" s="194" t="n"/>
      <c r="F1" s="194" t="n"/>
      <c r="G1" s="277" t="n"/>
    </row>
    <row r="2" ht="32" customHeight="1" s="138">
      <c r="A2" s="295" t="inlineStr">
        <is>
          <t>These are documented expenses paid from the ASAP business account or on business credit cards (Amex). All are potentially deductible under IRC §162 (ordinary &amp; necessary business expenses) or §179 / §274. CPA to confirm categorization.</t>
        </is>
      </c>
      <c r="B2" s="194" t="n"/>
      <c r="C2" s="194" t="n"/>
      <c r="D2" s="194" t="n"/>
      <c r="E2" s="194" t="n"/>
      <c r="F2" s="194" t="n"/>
      <c r="G2" s="277" t="n"/>
    </row>
    <row r="3" ht="18" customHeight="1" s="138">
      <c r="A3" s="296" t="inlineStr">
        <is>
          <t>Date</t>
        </is>
      </c>
      <c r="B3" s="296" t="inlineStr">
        <is>
          <t>Description</t>
        </is>
      </c>
      <c r="C3" s="296" t="inlineStr">
        <is>
          <t>Amount</t>
        </is>
      </c>
      <c r="D3" s="296" t="inlineStr">
        <is>
          <t>Payment Method</t>
        </is>
      </c>
      <c r="E3" s="296" t="inlineStr">
        <is>
          <t>Category</t>
        </is>
      </c>
      <c r="F3" s="296" t="inlineStr">
        <is>
          <t>Receipt?</t>
        </is>
      </c>
      <c r="G3" s="296" t="inlineStr">
        <is>
          <t>CPA Notes</t>
        </is>
      </c>
    </row>
    <row r="4" ht="20" customHeight="1" s="138">
      <c r="A4" s="297" t="inlineStr">
        <is>
          <t>📚  EDUCATION &amp; PROFESSIONAL DEVELOPMENT — Alex Hormozi / Acquisition.com</t>
        </is>
      </c>
      <c r="B4" s="194" t="n"/>
      <c r="C4" s="194" t="n"/>
      <c r="D4" s="194" t="n"/>
      <c r="E4" s="194" t="n"/>
      <c r="F4" s="194" t="n"/>
      <c r="G4" s="277" t="n"/>
    </row>
    <row r="5" ht="52" customHeight="1" s="138">
      <c r="A5" s="288" t="inlineStr">
        <is>
          <t>Aug 18, 2025</t>
        </is>
      </c>
      <c r="B5" s="289" t="inlineStr">
        <is>
          <t>$100M Money Models Book Bundle + All Playbooks (Acquisition.com Order #192038)</t>
        </is>
      </c>
      <c r="C5" s="298" t="n">
        <v>6000.5</v>
      </c>
      <c r="D5" s="288" t="inlineStr">
        <is>
          <t>Amex ••••1008</t>
        </is>
      </c>
      <c r="E5" s="288" t="inlineStr">
        <is>
          <t>Education/Training</t>
        </is>
      </c>
      <c r="F5" s="285" t="inlineStr">
        <is>
          <t>✅ Receipt attached (Order #192038)</t>
        </is>
      </c>
      <c r="G5" s="292" t="inlineStr">
        <is>
          <t>Deductible: business education &amp; training materials. Billed to business address (15915 Katy Fwy Ste 555). Delivered Aug 25.</t>
        </is>
      </c>
    </row>
    <row r="6" ht="52" customHeight="1" s="138">
      <c r="A6" s="288" t="inlineStr">
        <is>
          <t>2025 (TBD)</t>
        </is>
      </c>
      <c r="B6" s="289" t="inlineStr">
        <is>
          <t>Alex Hormozi Live Event / Conference (Acquisition.com)</t>
        </is>
      </c>
      <c r="C6" s="298" t="n">
        <v>5000</v>
      </c>
      <c r="D6" s="288" t="inlineStr">
        <is>
          <t>TBD — confirm source</t>
        </is>
      </c>
      <c r="E6" s="288" t="inlineStr">
        <is>
          <t>Education/Training</t>
        </is>
      </c>
      <c r="F6" s="317" t="inlineStr">
        <is>
          <t>$5,000 Alex Hormozi Live Event / Conference (Acquisition.com). ✅ Receipt located — saved to CPA drive folder. Travel confirmed: Southwest Airlines Jul 21 + Las Vegas Jul 23-25 (Chin Chin, Broken Yolk, NYNY Sirricos) in bank statement. Total education/event spend with book bundle: $11,000.50.</t>
        </is>
      </c>
      <c r="G6" s="292" t="inlineStr">
        <is>
          <t>Deductible: business conference/seminar (IRC §162). Need: event name, exact date, payment receipt. Was this paid from Amex or bank? Check Aug/Sep statement.</t>
        </is>
      </c>
    </row>
    <row r="7" ht="20" customHeight="1" s="138">
      <c r="A7" s="300" t="inlineStr">
        <is>
          <t>SUBTOTAL</t>
        </is>
      </c>
      <c r="B7" s="277" t="n"/>
      <c r="C7" s="267" t="n">
        <v>11000.5</v>
      </c>
      <c r="G7" s="301" t="inlineStr">
        <is>
          <t>Combined deduction value — confirm with CPA whether full amount or prorated</t>
        </is>
      </c>
    </row>
    <row r="8" ht="10" customHeight="1" s="138"/>
    <row r="9" ht="20" customHeight="1" s="138">
      <c r="A9" s="297" t="inlineStr">
        <is>
          <t>💡  OTHER NOTABLE DEDUCTIBLE EXPENSES ALREADY CAPTURED IN BANK STATEMENTS (for CPA reference)</t>
        </is>
      </c>
      <c r="B9" s="194" t="n"/>
      <c r="C9" s="194" t="n"/>
      <c r="D9" s="194" t="n"/>
      <c r="E9" s="194" t="n"/>
      <c r="F9" s="194" t="n"/>
      <c r="G9" s="277" t="n"/>
    </row>
    <row r="10" ht="36" customHeight="1" s="138">
      <c r="A10" s="288" t="inlineStr">
        <is>
          <t>Monthly</t>
        </is>
      </c>
      <c r="B10" s="289" t="inlineStr">
        <is>
          <t>Wise / Xoom / Xoom international contractor payments</t>
        </is>
      </c>
      <c r="C10" s="302" t="inlineStr">
        <is>
          <t>~$4,500–$8,000/mo</t>
        </is>
      </c>
      <c r="D10" s="288" t="inlineStr">
        <is>
          <t>ACH/Wire</t>
        </is>
      </c>
      <c r="E10" s="288" t="inlineStr">
        <is>
          <t>Contract Labor</t>
        </is>
      </c>
      <c r="F10" s="289" t="inlineStr">
        <is>
          <t>Ongoing</t>
        </is>
      </c>
      <c r="G10" s="292" t="inlineStr">
        <is>
          <t>Deductible contractor payments — may require 1099-NEC if any individual &gt;$600/yr. CPA to review totals per recipient.</t>
        </is>
      </c>
    </row>
    <row r="11" ht="36" customHeight="1" s="138">
      <c r="A11" s="288" t="inlineStr">
        <is>
          <t>Monthly</t>
        </is>
      </c>
      <c r="B11" s="289" t="inlineStr">
        <is>
          <t>WF Direct Pay — Affiliate Payouts (Suite 555)</t>
        </is>
      </c>
      <c r="C11" s="302" t="inlineStr">
        <is>
          <t>$5,000/mo</t>
        </is>
      </c>
      <c r="D11" s="288" t="inlineStr">
        <is>
          <t>WF Direct Pay</t>
        </is>
      </c>
      <c r="E11" s="288" t="inlineStr">
        <is>
          <t>Commissions/Affiliates</t>
        </is>
      </c>
      <c r="F11" s="289" t="inlineStr">
        <is>
          <t>Bank stmt</t>
        </is>
      </c>
      <c r="G11" s="292" t="inlineStr">
        <is>
          <t>Deductible affiliate commissions. 1099-NEC required if any affiliate &gt;$600/yr.</t>
        </is>
      </c>
    </row>
    <row r="12" ht="36" customHeight="1" s="138">
      <c r="A12" s="288" t="inlineStr">
        <is>
          <t>Monthly</t>
        </is>
      </c>
      <c r="B12" s="289" t="inlineStr">
        <is>
          <t>GoDaddy web orders (multiple domains)</t>
        </is>
      </c>
      <c r="C12" s="302" t="inlineStr">
        <is>
          <t>~$20–$56/mo</t>
        </is>
      </c>
      <c r="D12" s="288" t="inlineStr">
        <is>
          <t>ACH</t>
        </is>
      </c>
      <c r="E12" s="288" t="inlineStr">
        <is>
          <t>Technology/Software</t>
        </is>
      </c>
      <c r="F12" s="289" t="inlineStr">
        <is>
          <t>Bank stmt</t>
        </is>
      </c>
      <c r="G12" s="292" t="inlineStr">
        <is>
          <t>Deductible — business technology expense.</t>
        </is>
      </c>
    </row>
    <row r="13" ht="36" customHeight="1" s="138">
      <c r="A13" s="288" t="inlineStr">
        <is>
          <t>Monthly</t>
        </is>
      </c>
      <c r="B13" s="289" t="inlineStr">
        <is>
          <t>Facebook Ads (multiple charges, picks up Jun 2025)</t>
        </is>
      </c>
      <c r="C13" s="302" t="inlineStr">
        <is>
          <t>Varies ~$200–$1,025/mo</t>
        </is>
      </c>
      <c r="D13" s="288" t="inlineStr">
        <is>
          <t>Card 5469</t>
        </is>
      </c>
      <c r="E13" s="288" t="inlineStr">
        <is>
          <t>Advertising</t>
        </is>
      </c>
      <c r="F13" s="289" t="inlineStr">
        <is>
          <t>Bank stmt</t>
        </is>
      </c>
      <c r="G13" s="292" t="inlineStr">
        <is>
          <t>Deductible advertising expense. Card 5469 appears to be WF debit card on business account.</t>
        </is>
      </c>
    </row>
    <row r="14" ht="36" customHeight="1" s="138">
      <c r="A14" s="288" t="inlineStr">
        <is>
          <t>Monthly</t>
        </is>
      </c>
      <c r="B14" s="289" t="inlineStr">
        <is>
          <t>Zapier subscription (Jun: $635.90 annual?)</t>
        </is>
      </c>
      <c r="C14" s="302" t="inlineStr">
        <is>
          <t>$635.90 (Jun)</t>
        </is>
      </c>
      <c r="D14" s="288" t="inlineStr">
        <is>
          <t>Card 5469</t>
        </is>
      </c>
      <c r="E14" s="288" t="inlineStr">
        <is>
          <t>Technology/Software</t>
        </is>
      </c>
      <c r="F14" s="289" t="inlineStr">
        <is>
          <t>Bank stmt</t>
        </is>
      </c>
      <c r="G14" s="292" t="inlineStr">
        <is>
          <t>Deductible SaaS/automation tool. Jun charge may be annual renewal.</t>
        </is>
      </c>
    </row>
    <row r="15" ht="36" customHeight="1" s="138">
      <c r="A15" s="288" t="inlineStr">
        <is>
          <t>Monthly</t>
        </is>
      </c>
      <c r="B15" s="289" t="inlineStr">
        <is>
          <t>Authnet Gateway Billing (Authorize.net)</t>
        </is>
      </c>
      <c r="C15" s="302" t="inlineStr">
        <is>
          <t>~$200/mo</t>
        </is>
      </c>
      <c r="D15" s="288" t="inlineStr">
        <is>
          <t>ACH</t>
        </is>
      </c>
      <c r="E15" s="288" t="inlineStr">
        <is>
          <t>Merchant/Payment Processing</t>
        </is>
      </c>
      <c r="F15" s="289" t="inlineStr">
        <is>
          <t>Bank stmt</t>
        </is>
      </c>
      <c r="G15" s="292" t="inlineStr">
        <is>
          <t>Deductible payment processing fee.</t>
        </is>
      </c>
    </row>
    <row r="16" ht="36" customHeight="1" s="138">
      <c r="A16" s="288" t="inlineStr">
        <is>
          <t>Monthly</t>
        </is>
      </c>
      <c r="B16" s="289" t="inlineStr">
        <is>
          <t>Signapay PCI Fees</t>
        </is>
      </c>
      <c r="C16" s="302" t="inlineStr">
        <is>
          <t>$6/mo</t>
        </is>
      </c>
      <c r="D16" s="288" t="inlineStr">
        <is>
          <t>ACH</t>
        </is>
      </c>
      <c r="E16" s="288" t="inlineStr">
        <is>
          <t>Merchant/Payment Processing</t>
        </is>
      </c>
      <c r="F16" s="289" t="inlineStr">
        <is>
          <t>Bank stmt</t>
        </is>
      </c>
      <c r="G16" s="292" t="inlineStr">
        <is>
          <t>Deductible.</t>
        </is>
      </c>
    </row>
    <row r="17" ht="36" customHeight="1" s="138">
      <c r="A17" s="288" t="inlineStr">
        <is>
          <t>Monthly</t>
        </is>
      </c>
      <c r="B17" s="289" t="inlineStr">
        <is>
          <t>Paychex HR/Benefits admin fees (EIB, OAB, PBS)</t>
        </is>
      </c>
      <c r="C17" s="302" t="inlineStr">
        <is>
          <t>Varies</t>
        </is>
      </c>
      <c r="D17" s="288" t="inlineStr">
        <is>
          <t>ACH</t>
        </is>
      </c>
      <c r="E17" s="288" t="inlineStr">
        <is>
          <t>Payroll/HR Admin</t>
        </is>
      </c>
      <c r="F17" s="289" t="inlineStr">
        <is>
          <t>Bank stmt</t>
        </is>
      </c>
      <c r="G17" s="292" t="inlineStr">
        <is>
          <t>Deductible — payroll admin. Note: large EIB invoices are payroll tax deposits, not deductible separately (already in W-2 wages).</t>
        </is>
      </c>
    </row>
    <row r="18" ht="36" customHeight="1" s="138">
      <c r="A18" s="288" t="inlineStr">
        <is>
          <t>Monthly</t>
        </is>
      </c>
      <c r="B18" s="289" t="inlineStr">
        <is>
          <t>Paypal/Zapier transfer</t>
        </is>
      </c>
      <c r="C18" s="302" t="inlineStr">
        <is>
          <t>$1,342.52/mo</t>
        </is>
      </c>
      <c r="D18" s="288" t="inlineStr">
        <is>
          <t>ACH</t>
        </is>
      </c>
      <c r="E18" s="288" t="inlineStr">
        <is>
          <t>Technology/Software</t>
        </is>
      </c>
      <c r="F18" s="289" t="inlineStr">
        <is>
          <t>Bank stmt</t>
        </is>
      </c>
      <c r="G18" s="292" t="inlineStr">
        <is>
          <t>Confirm what this covers — monthly Zapier payment via PayPal.</t>
        </is>
      </c>
    </row>
  </sheetData>
  <mergeCells count="5">
    <mergeCell ref="A1:G1"/>
    <mergeCell ref="A9:G9"/>
    <mergeCell ref="A7:B7"/>
    <mergeCell ref="A4:G4"/>
    <mergeCell ref="A2:G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6" customWidth="1" style="138" min="1" max="1"/>
    <col width="42" customWidth="1" style="138" min="2" max="2"/>
    <col width="13" customWidth="1" style="138" min="3" max="3"/>
    <col width="16" customWidth="1" style="138" min="4" max="4"/>
    <col width="22" customWidth="1" style="138" min="5" max="5"/>
    <col width="14" customWidth="1" style="138" min="6" max="6"/>
    <col width="36" customWidth="1" style="138" min="7" max="7"/>
  </cols>
  <sheetData>
    <row r="1" ht="24" customHeight="1" s="138">
      <c r="A1" s="294" t="inlineStr">
        <is>
          <t>2025 AMERICAN EXPRESS — FULL YEAR SPEND ANALYSIS  (Card ••••1008 — Joseph Mahlow / ASAP Credit Repair LLC)</t>
        </is>
      </c>
      <c r="B1" s="194" t="n"/>
      <c r="C1" s="194" t="n"/>
      <c r="D1" s="194" t="n"/>
      <c r="E1" s="194" t="n"/>
      <c r="F1" s="194" t="n"/>
      <c r="G1" s="277" t="n"/>
    </row>
    <row r="2" ht="20" customHeight="1" s="138">
      <c r="A2" s="303" t="inlineStr">
        <is>
          <t>Total 2025 Charges: $126,655.07  |  Total Payments Made: $110,769.63  |  Year-End Balance Carried: ~$15,885  |  597 transactions</t>
        </is>
      </c>
      <c r="B2" s="194" t="n"/>
      <c r="C2" s="194" t="n"/>
      <c r="D2" s="194" t="n"/>
      <c r="E2" s="194" t="n"/>
      <c r="F2" s="194" t="n"/>
      <c r="G2" s="277" t="n"/>
    </row>
    <row r="3" ht="20" customHeight="1" s="138">
      <c r="A3" s="297" t="inlineStr">
        <is>
          <t>📊  DEDUCTIBLE EXPENSE SUMMARY BY CATEGORY</t>
        </is>
      </c>
      <c r="B3" s="194" t="n"/>
      <c r="C3" s="194" t="n"/>
      <c r="D3" s="194" t="n"/>
      <c r="E3" s="194" t="n"/>
      <c r="F3" s="194" t="n"/>
      <c r="G3" s="277" t="n"/>
    </row>
    <row r="4" ht="18" customHeight="1" s="138">
      <c r="A4" s="296" t="inlineStr">
        <is>
          <t>Category</t>
        </is>
      </c>
      <c r="B4" s="296" t="inlineStr">
        <is>
          <t>Description / Notes</t>
        </is>
      </c>
      <c r="C4" s="296" t="inlineStr">
        <is>
          <t>Annual Total</t>
        </is>
      </c>
      <c r="D4" s="296" t="inlineStr">
        <is>
          <t>Deductible?</t>
        </is>
      </c>
      <c r="E4" s="296" t="inlineStr">
        <is>
          <t>IRC Reference</t>
        </is>
      </c>
      <c r="F4" s="296" t="inlineStr">
        <is>
          <t>Receipt?</t>
        </is>
      </c>
      <c r="G4" s="296" t="inlineStr">
        <is>
          <t>CPA Action</t>
        </is>
      </c>
    </row>
    <row r="5" ht="52" customHeight="1" s="138">
      <c r="A5" s="255" t="inlineStr">
        <is>
          <t>Postage — Client Dispute Letters</t>
        </is>
      </c>
      <c r="B5" s="287" t="inlineStr">
        <is>
          <t>USPS PO #4801780006 Houston. $2,920–$3,900/mo Jan–Oct. ✅ CLARIFIED: Postage for mailing client credit dispute letters to bureaus/creditors. Core business operating expense. No charges Jun/Nov/Dec — likely paid differently or volume dipped.</t>
        </is>
      </c>
      <c r="C5" s="286" t="n">
        <v>32067</v>
      </c>
      <c r="D5" s="317" t="inlineStr">
        <is>
          <t>✅ 100% Deductible</t>
        </is>
      </c>
      <c r="E5" s="285" t="inlineStr">
        <is>
          <t>§162 Operating</t>
        </is>
      </c>
      <c r="F5" s="285" t="inlineStr">
        <is>
          <t>✅ Confirmed by Joe</t>
        </is>
      </c>
      <c r="G5" s="287" t="inlineStr">
        <is>
          <t>Core business postage — strongest possible deduction. $32K/yr in postage is consistent with a high-volume dispute letter business. Fully deductible as ordinary &amp; necessary business expense.</t>
        </is>
      </c>
    </row>
    <row r="6" ht="52" customHeight="1" s="138">
      <c r="A6" s="255" t="inlineStr">
        <is>
          <t>Phone / Communications</t>
        </is>
      </c>
      <c r="B6" s="287" t="inlineStr">
        <is>
          <t>RingCentral monthly plan + per-seat lines. Grew Jan ($1,819) → Dec ($2,078+). Spike Jul–Sep with many $24.88/$49.76 charges = added seats. Fully business use.</t>
        </is>
      </c>
      <c r="C6" s="286" t="n">
        <v>26384.86</v>
      </c>
      <c r="D6" s="256" t="inlineStr">
        <is>
          <t>✅ 100% Deductible</t>
        </is>
      </c>
      <c r="E6" s="256" t="inlineStr">
        <is>
          <t>§162 Utilities</t>
        </is>
      </c>
      <c r="F6" s="256" t="inlineStr">
        <is>
          <t>✅ Bank stmt</t>
        </is>
      </c>
      <c r="G6" s="287" t="inlineStr">
        <is>
          <t>Note: large annual/semi-annual invoices around 6th of each month. Confirm total seats and plan type.</t>
        </is>
      </c>
    </row>
    <row r="7" ht="52" customHeight="1" s="138">
      <c r="A7" s="255" t="inlineStr">
        <is>
          <t>CRM Software (Pipedrive)</t>
        </is>
      </c>
      <c r="B7" s="287" t="inlineStr">
        <is>
          <t>Pipedrive Inc monthly + seat charges. Grew from $970/mo (Jan) to $2,638/mo (Dec) — team expansion. 100% business software.</t>
        </is>
      </c>
      <c r="C7" s="286" t="n">
        <v>20773.44</v>
      </c>
      <c r="D7" s="256" t="inlineStr">
        <is>
          <t>✅ 100% Deductible</t>
        </is>
      </c>
      <c r="E7" s="256" t="inlineStr">
        <is>
          <t>§162 Software</t>
        </is>
      </c>
      <c r="F7" s="256" t="inlineStr">
        <is>
          <t>✅ Bank stmt</t>
        </is>
      </c>
      <c r="G7" s="287" t="inlineStr">
        <is>
          <t>Growing CRM cost may warrant negotiating annual contract for savings.</t>
        </is>
      </c>
    </row>
    <row r="8" ht="52" customHeight="1" s="138">
      <c r="A8" s="255" t="inlineStr">
        <is>
          <t>Office Supplies (Amazon)</t>
        </is>
      </c>
      <c r="B8" s="287" t="inlineStr">
        <is>
          <t>Amazon Marketplace — multiple orders throughout year. ✅ CLARIFIED: General business supplies. Includes large orders Apr ($1,788) and Aug ($885).</t>
        </is>
      </c>
      <c r="C8" s="306" t="n">
        <v>9840.32</v>
      </c>
      <c r="D8" s="317" t="inlineStr">
        <is>
          <t>✅ 100% Deductible</t>
        </is>
      </c>
      <c r="E8" s="285" t="inlineStr">
        <is>
          <t>§162 Supplies</t>
        </is>
      </c>
      <c r="F8" s="285" t="inlineStr">
        <is>
          <t>✅ Confirmed by Joe</t>
        </is>
      </c>
      <c r="G8" s="287" t="inlineStr">
        <is>
          <t>General office/business supplies — fully deductible. CPA may want Amazon order history for large purchases &gt;$500 to confirm no capital equipment needing §179 treatment.</t>
        </is>
      </c>
    </row>
    <row r="9" ht="52" customHeight="1" s="138">
      <c r="A9" s="255" t="inlineStr">
        <is>
          <t>Education / Training</t>
        </is>
      </c>
      <c r="B9" s="287" t="inlineStr">
        <is>
          <t>SP Acquisition.com: $6,000.50 (Aug 18) = $100M Money Models Book Bundle + All Playbooks (Order #192038, receipt confirmed) + $10.47 misc. NOTE: $5K Hormozi event NOT on this Amex — check bank statements or other card.</t>
        </is>
      </c>
      <c r="C9" s="286" t="n">
        <v>6010.97</v>
      </c>
      <c r="D9" s="256" t="inlineStr">
        <is>
          <t>✅ 100% Deductible</t>
        </is>
      </c>
      <c r="E9" s="256" t="inlineStr">
        <is>
          <t>§162 Education</t>
        </is>
      </c>
      <c r="F9" s="256" t="inlineStr">
        <is>
          <t>✅ Receipt on file</t>
        </is>
      </c>
      <c r="G9" s="287" t="inlineStr">
        <is>
          <t>Receipt for $6,000.50 confirmed. Still need receipt for separate $5,000 Hormozi event (not on this Amex).</t>
        </is>
      </c>
    </row>
    <row r="10" ht="52" customHeight="1" s="138">
      <c r="A10" s="308" t="inlineStr">
        <is>
          <t>Interest Expense</t>
        </is>
      </c>
      <c r="B10" s="292" t="inlineStr">
        <is>
          <t>Monthly finance charges on Pay Over Time balance. Grew from $253 (Jan) to $605 (Dec) — balance grew through year. Business credit card interest = deductible.</t>
        </is>
      </c>
      <c r="C10" s="298" t="n">
        <v>5776.75</v>
      </c>
      <c r="D10" s="288" t="inlineStr">
        <is>
          <t>✅ Deductible (biz portion)</t>
        </is>
      </c>
      <c r="E10" s="288" t="inlineStr">
        <is>
          <t>§163(a)</t>
        </is>
      </c>
      <c r="F10" s="288" t="inlineStr">
        <is>
          <t>✅ Statements</t>
        </is>
      </c>
      <c r="G10" s="292" t="inlineStr">
        <is>
          <t>If card is 100% business use, full amount deductible. Flag any personal charges (see below) — CPA may need to prorate.</t>
        </is>
      </c>
    </row>
    <row r="11" ht="52" customHeight="1" s="138">
      <c r="A11" s="255" t="inlineStr">
        <is>
          <t>Software (Various)</t>
        </is>
      </c>
      <c r="B11" s="287" t="inlineStr">
        <is>
          <t>Cognito Enterprise $1,751 (form builder), QuickBooks $1,359, Insightful.io $1,206, ReadyRefresh $1,488, Typeform $411, Nimbus/FuseBase $380, Short.cm $600, VEED $288, Zoho $371, GMass $385, Linktree $192, Google Workspace $215, OpenAI $85.</t>
        </is>
      </c>
      <c r="C11" s="286" t="n">
        <v>5154.93</v>
      </c>
      <c r="D11" s="256" t="inlineStr">
        <is>
          <t>✅ 100% Deductible</t>
        </is>
      </c>
      <c r="E11" s="256" t="inlineStr">
        <is>
          <t>§162 Software</t>
        </is>
      </c>
      <c r="F11" s="256" t="inlineStr">
        <is>
          <t>✅ Bank stmt</t>
        </is>
      </c>
      <c r="G11" s="287" t="inlineStr">
        <is>
          <t>All legitimate SaaS business tools. Note: ReadyRefresh (water delivery) deductible as office expense.</t>
        </is>
      </c>
    </row>
    <row r="12" ht="52" customHeight="1" s="138">
      <c r="A12" s="255" t="inlineStr">
        <is>
          <t>Marketing Event Sponsorship</t>
        </is>
      </c>
      <c r="B12" s="287" t="inlineStr">
        <is>
          <t>Business Lending Blue — $2,749.50 (Sep 5). ✅ CLARIFIED: Marketing event sponsorship.</t>
        </is>
      </c>
      <c r="C12" s="306" t="n">
        <v>2749.5</v>
      </c>
      <c r="D12" s="317" t="inlineStr">
        <is>
          <t>✅ 100% Deductible</t>
        </is>
      </c>
      <c r="E12" s="285" t="inlineStr">
        <is>
          <t>§162 Advertising</t>
        </is>
      </c>
      <c r="F12" s="285" t="inlineStr">
        <is>
          <t>✅ Confirmed by Joe</t>
        </is>
      </c>
      <c r="G12" s="287" t="inlineStr">
        <is>
          <t>Marketing/sponsorship expense — fully deductible. Get event name and any sponsorship agreement for CPA file.</t>
        </is>
      </c>
    </row>
    <row r="13" ht="52" customHeight="1" s="138">
      <c r="A13" s="308" t="inlineStr">
        <is>
          <t>Contractor Payments (Payoneer)</t>
        </is>
      </c>
      <c r="B13" s="292" t="inlineStr">
        <is>
          <t>Payoneer Europe Ltd — $2,580.49 (Oct 24). International payment platform — likely foreign contractor payout.</t>
        </is>
      </c>
      <c r="C13" s="298" t="n">
        <v>2580.49</v>
      </c>
      <c r="D13" s="288" t="inlineStr">
        <is>
          <t>✅ Deductible</t>
        </is>
      </c>
      <c r="E13" s="288" t="inlineStr">
        <is>
          <t>§162 Contract Labor</t>
        </is>
      </c>
      <c r="F13" s="288" t="inlineStr">
        <is>
          <t>✅ Bank stmt</t>
        </is>
      </c>
      <c r="G13" s="292" t="inlineStr">
        <is>
          <t>1099 not required for foreign contractors (use W-8BEN). Confirm recipient name/country for CPA.</t>
        </is>
      </c>
    </row>
    <row r="14" ht="52" customHeight="1" s="138">
      <c r="A14" s="255" t="inlineStr">
        <is>
          <t>Advertising — Video Production</t>
        </is>
      </c>
      <c r="B14" s="287" t="inlineStr">
        <is>
          <t>Vandrews Media LLC, Katy TX — $1,000 (Apr 2) + $1,500 (Apr 10) = $2,500. ✅ CLARIFIED: Hired to produce testimonial videos for ASAP Credit Repair.</t>
        </is>
      </c>
      <c r="C14" s="298" t="n">
        <v>2500</v>
      </c>
      <c r="D14" s="317" t="inlineStr">
        <is>
          <t>✅ 100% Deductible</t>
        </is>
      </c>
      <c r="E14" s="285" t="inlineStr">
        <is>
          <t>§162 Advertising</t>
        </is>
      </c>
      <c r="F14" s="285" t="inlineStr">
        <is>
          <t>✅ Confirmed by Joe</t>
        </is>
      </c>
      <c r="G14" s="287" t="inlineStr">
        <is>
          <t>Testimonial video production — fully deductible advertising/marketing expense. 1099-NEC required ($2,500 &gt; $600 threshold). Confirm it was issued.</t>
        </is>
      </c>
    </row>
    <row r="15" ht="52" customHeight="1" s="138">
      <c r="A15" s="308" t="inlineStr">
        <is>
          <t>Travel (Southwest Airlines)</t>
        </is>
      </c>
      <c r="B15" s="292" t="inlineStr">
        <is>
          <t>$676.92 total. Multiple charges suggest 1-2 trips.</t>
        </is>
      </c>
      <c r="C15" s="298" t="n">
        <v>676.92</v>
      </c>
      <c r="D15" s="288" t="inlineStr">
        <is>
          <t>✅ Deductible (biz purpose)</t>
        </is>
      </c>
      <c r="E15" s="288" t="inlineStr">
        <is>
          <t>§162 Travel</t>
        </is>
      </c>
      <c r="F15" s="288" t="inlineStr">
        <is>
          <t>✅ Bank stmt</t>
        </is>
      </c>
      <c r="G15" s="292" t="inlineStr">
        <is>
          <t>Document business purpose for each flight. Possibly related to Hormozi event — if so, add to education/conference total.</t>
        </is>
      </c>
    </row>
    <row r="16" ht="52" customHeight="1" s="138">
      <c r="A16" s="308" t="inlineStr">
        <is>
          <t>Event Space (Peerspace)</t>
        </is>
      </c>
      <c r="B16" s="292" t="inlineStr">
        <is>
          <t>$602.25 (Mar 24). Event space rental in San Francisco.</t>
        </is>
      </c>
      <c r="C16" s="298" t="n">
        <v>602.25</v>
      </c>
      <c r="D16" s="288" t="inlineStr">
        <is>
          <t>✅ Deductible</t>
        </is>
      </c>
      <c r="E16" s="288" t="inlineStr">
        <is>
          <t>§162 / §274</t>
        </is>
      </c>
      <c r="F16" s="288" t="inlineStr">
        <is>
          <t>✅ Bank stmt</t>
        </is>
      </c>
      <c r="G16" s="292" t="inlineStr">
        <is>
          <t>Document business purpose — team meeting, client event, training session?</t>
        </is>
      </c>
    </row>
    <row r="17" ht="52" customHeight="1" s="138">
      <c r="A17" s="308" t="inlineStr">
        <is>
          <t>Shipping (FedEx)</t>
        </is>
      </c>
      <c r="B17" s="292" t="inlineStr">
        <is>
          <t>$420.49 total across multiple charges.</t>
        </is>
      </c>
      <c r="C17" s="298" t="n">
        <v>420.49</v>
      </c>
      <c r="D17" s="288" t="inlineStr">
        <is>
          <t>✅ Deductible</t>
        </is>
      </c>
      <c r="E17" s="288" t="inlineStr">
        <is>
          <t>§162</t>
        </is>
      </c>
      <c r="F17" s="288" t="inlineStr">
        <is>
          <t>✅ Bank stmt</t>
        </is>
      </c>
      <c r="G17" s="292" t="inlineStr">
        <is>
          <t>Business shipping — deductible.</t>
        </is>
      </c>
    </row>
    <row r="18" ht="52" customHeight="1" s="138">
      <c r="A18" s="308" t="inlineStr">
        <is>
          <t>Email Marketing (GMass)</t>
        </is>
      </c>
      <c r="B18" s="292" t="inlineStr">
        <is>
          <t>$385.00 annual subscription.</t>
        </is>
      </c>
      <c r="C18" s="298" t="n">
        <v>385</v>
      </c>
      <c r="D18" s="288" t="inlineStr">
        <is>
          <t>✅ Deductible</t>
        </is>
      </c>
      <c r="E18" s="288" t="inlineStr">
        <is>
          <t>§162 Advertising</t>
        </is>
      </c>
      <c r="F18" s="288" t="inlineStr">
        <is>
          <t>✅ Bank stmt</t>
        </is>
      </c>
      <c r="G18" s="292" t="inlineStr">
        <is>
          <t>Email marketing tool — fully deductible.</t>
        </is>
      </c>
    </row>
    <row r="19" ht="52" customHeight="1" s="138">
      <c r="A19" s="308" t="inlineStr">
        <is>
          <t>Skool.com / Education</t>
        </is>
      </c>
      <c r="B19" s="292" t="inlineStr">
        <is>
          <t>Skool community platform — $334 total. P.SKOOL.COM $1 + SKOOL.COM $9 (monthly) = likely Hormozi community access.</t>
        </is>
      </c>
      <c r="C19" s="298" t="n">
        <v>334</v>
      </c>
      <c r="D19" s="288" t="inlineStr">
        <is>
          <t>✅ Deductible</t>
        </is>
      </c>
      <c r="E19" s="288" t="inlineStr">
        <is>
          <t>§162 Education</t>
        </is>
      </c>
      <c r="F19" s="288" t="inlineStr">
        <is>
          <t>✅ Bank stmt</t>
        </is>
      </c>
      <c r="G19" s="292" t="inlineStr">
        <is>
          <t>Business community/education subscription.</t>
        </is>
      </c>
    </row>
    <row r="20" ht="52" customHeight="1" s="138">
      <c r="A20" s="308" t="inlineStr">
        <is>
          <t>IdentityIQ</t>
        </is>
      </c>
      <c r="B20" s="292" t="inlineStr">
        <is>
          <t>IDENTITYIQ.COM — $286.91 total. Monthly $34.99 charges — credit monitoring service used in credit repair business.</t>
        </is>
      </c>
      <c r="C20" s="298" t="n">
        <v>286.91</v>
      </c>
      <c r="D20" s="288" t="inlineStr">
        <is>
          <t>✅ Deductible</t>
        </is>
      </c>
      <c r="E20" s="288" t="inlineStr">
        <is>
          <t>§162</t>
        </is>
      </c>
      <c r="F20" s="288" t="inlineStr">
        <is>
          <t>✅ Bank stmt</t>
        </is>
      </c>
      <c r="G20" s="292" t="inlineStr">
        <is>
          <t>Business tool for credit repair operations.</t>
        </is>
      </c>
    </row>
    <row r="21" ht="20" customHeight="1" s="138">
      <c r="A21" s="304" t="inlineStr">
        <is>
          <t>SUBTOTAL (above categories)</t>
        </is>
      </c>
      <c r="C21" s="267" t="n">
        <v>116543.83</v>
      </c>
    </row>
    <row r="23" ht="20" customHeight="1" s="138">
      <c r="A23" s="309" t="inlineStr">
        <is>
          <t>🚫  PERSONAL / NON-DEDUCTIBLE CHARGES ON BUSINESS CARD — Must Be Excluded by CPA</t>
        </is>
      </c>
      <c r="B23" s="194" t="n"/>
      <c r="C23" s="194" t="n"/>
      <c r="D23" s="194" t="n"/>
      <c r="E23" s="194" t="n"/>
      <c r="F23" s="194" t="n"/>
      <c r="G23" s="277" t="n"/>
    </row>
    <row r="24">
      <c r="A24" s="310" t="inlineStr">
        <is>
          <t>Date</t>
        </is>
      </c>
      <c r="B24" s="311" t="inlineStr">
        <is>
          <t>Description</t>
        </is>
      </c>
      <c r="C24" s="312" t="inlineStr">
        <is>
          <t>Total</t>
        </is>
      </c>
      <c r="D24" s="310" t="inlineStr">
        <is>
          <t>Status</t>
        </is>
      </c>
      <c r="E24" s="299" t="inlineStr"/>
      <c r="F24" s="299" t="inlineStr"/>
      <c r="G24" s="311" t="inlineStr">
        <is>
          <t>CPA Note</t>
        </is>
      </c>
    </row>
    <row r="25" ht="30" customHeight="1" s="138">
      <c r="A25" s="288" t="inlineStr">
        <is>
          <t>Recurring</t>
        </is>
      </c>
      <c r="B25" s="289" t="inlineStr">
        <is>
          <t>LA Fitness membership</t>
        </is>
      </c>
      <c r="C25" s="313" t="n">
        <v>130</v>
      </c>
      <c r="D25" s="314" t="inlineStr">
        <is>
          <t>❌ Personal</t>
        </is>
      </c>
      <c r="E25" s="289" t="inlineStr"/>
      <c r="F25" s="289" t="inlineStr"/>
      <c r="G25" s="292" t="inlineStr">
        <is>
          <t>Monthly gym fee — personal expense, not deductible.</t>
        </is>
      </c>
    </row>
    <row r="26" ht="30" customHeight="1" s="138">
      <c r="A26" s="288" t="inlineStr">
        <is>
          <t>Recurring</t>
        </is>
      </c>
      <c r="B26" s="289" t="inlineStr">
        <is>
          <t>Prime Video Channels (Amazon)</t>
        </is>
      </c>
      <c r="C26" s="313" t="n">
        <v>491.83</v>
      </c>
      <c r="D26" s="314" t="inlineStr">
        <is>
          <t>❌ Personal</t>
        </is>
      </c>
      <c r="E26" s="289" t="inlineStr"/>
      <c r="F26" s="289" t="inlineStr"/>
      <c r="G26" s="292" t="inlineStr">
        <is>
          <t>Streaming subscriptions — personal entertainment.</t>
        </is>
      </c>
    </row>
    <row r="27" ht="30" customHeight="1" s="138">
      <c r="A27" s="288" t="inlineStr">
        <is>
          <t>Various</t>
        </is>
      </c>
      <c r="B27" s="289" t="inlineStr">
        <is>
          <t>H-E-B Grocery (Houston TX)</t>
        </is>
      </c>
      <c r="C27" s="313" t="n">
        <v>575.38</v>
      </c>
      <c r="D27" s="314" t="inlineStr">
        <is>
          <t>❌ Personal</t>
        </is>
      </c>
      <c r="E27" s="289" t="inlineStr"/>
      <c r="F27" s="289" t="inlineStr"/>
      <c r="G27" s="292" t="inlineStr">
        <is>
          <t>Grocery store — personal.</t>
        </is>
      </c>
    </row>
    <row r="28" ht="30" customHeight="1" s="138">
      <c r="A28" s="288" t="inlineStr">
        <is>
          <t>Various</t>
        </is>
      </c>
      <c r="B28" s="289" t="inlineStr">
        <is>
          <t>Sams Club</t>
        </is>
      </c>
      <c r="C28" s="313" t="n">
        <v>467.58</v>
      </c>
      <c r="D28" s="314" t="inlineStr">
        <is>
          <t>⚠️ Mixed?</t>
        </is>
      </c>
      <c r="E28" s="289" t="inlineStr"/>
      <c r="F28" s="289" t="inlineStr"/>
      <c r="G28" s="292" t="inlineStr">
        <is>
          <t>Could be office supplies or personal. Get receipts to separate.</t>
        </is>
      </c>
    </row>
    <row r="29" ht="30" customHeight="1" s="138">
      <c r="A29" s="288" t="inlineStr">
        <is>
          <t>Various</t>
        </is>
      </c>
      <c r="B29" s="289" t="inlineStr">
        <is>
          <t>Dollar Tree</t>
        </is>
      </c>
      <c r="C29" s="313" t="n">
        <v>31.66</v>
      </c>
      <c r="D29" s="314" t="inlineStr">
        <is>
          <t>❌ Personal</t>
        </is>
      </c>
      <c r="E29" s="289" t="inlineStr"/>
      <c r="F29" s="289" t="inlineStr"/>
      <c r="G29" s="292" t="inlineStr">
        <is>
          <t>Likely personal.</t>
        </is>
      </c>
    </row>
    <row r="30" ht="30" customHeight="1" s="138">
      <c r="A30" s="288" t="inlineStr">
        <is>
          <t>12/11</t>
        </is>
      </c>
      <c r="B30" s="289" t="inlineStr">
        <is>
          <t>ME-KATY-OD CP ($548) + ME-KATY-IC ($26)</t>
        </is>
      </c>
      <c r="C30" s="313" t="n">
        <v>574.29</v>
      </c>
      <c r="D30" s="314" t="inlineStr">
        <is>
          <t>❌ Personal</t>
        </is>
      </c>
      <c r="E30" s="289" t="inlineStr"/>
      <c r="F30" s="289" t="inlineStr"/>
      <c r="G30" s="292" t="inlineStr">
        <is>
          <t>Medical/dental — personal health expense. NOT deductible on S-Corp unless S-Corp pays health insurance.</t>
        </is>
      </c>
    </row>
    <row r="31" ht="30" customHeight="1" s="138">
      <c r="A31" s="288" t="inlineStr">
        <is>
          <t>12/9</t>
        </is>
      </c>
      <c r="B31" s="289" t="inlineStr">
        <is>
          <t>Main Event (entertainment)</t>
        </is>
      </c>
      <c r="C31" s="313" t="n">
        <v>100</v>
      </c>
      <c r="D31" s="314" t="inlineStr">
        <is>
          <t>⚠️ Clarify</t>
        </is>
      </c>
      <c r="E31" s="289" t="inlineStr"/>
      <c r="F31" s="289" t="inlineStr"/>
      <c r="G31" s="292" t="inlineStr">
        <is>
          <t>Team entertainment? If for employees, may be 50% deductible under §274.</t>
        </is>
      </c>
    </row>
    <row r="32" ht="20" customHeight="1" s="138">
      <c r="A32" s="315" t="inlineStr">
        <is>
          <t>PERSONAL TOTAL (remove from deductions)</t>
        </is>
      </c>
      <c r="B32" s="277" t="n"/>
      <c r="C32" s="316" t="n">
        <v>2370.74</v>
      </c>
    </row>
    <row r="34" ht="40" customHeight="1" s="138">
      <c r="A34" s="293" t="inlineStr">
        <is>
          <t>💡  ESTIMATED DEDUCTIBLE AMEX SPEND (all categories confirmed business): ~$114,173  |  Less personal charges (~$2,371): ~$111,802 net deductible  |  Final amount subject to CPA review. All 4 previously unclear items now confirmed as 100% business.</t>
        </is>
      </c>
      <c r="B34" s="194" t="n"/>
      <c r="C34" s="194" t="n"/>
      <c r="D34" s="194" t="n"/>
      <c r="E34" s="194" t="n"/>
      <c r="F34" s="194" t="n"/>
      <c r="G34" s="277" t="n"/>
    </row>
    <row r="35" ht="40" customHeight="1" s="138">
      <c r="A35" s="293" t="inlineStr">
        <is>
          <t>✅  HORMOZI EVENT LOCATED: Bank stmt Jul 21-25 shows Southwest Airlines $207 (Jul 21) + Las Vegas charges (Chin Chin, Broken Yolk, NYNY Sirricos, Jul 23-25) totaling ~$381 in travel/meals. The $5K event ticket itself was likely paid separately — check Jul/Aug Amex or bank for a charge to "Acquisition.com", "GrowthCon", "Hormozi", or similar around that date. Southwest charges on Amex ($676.92) also confirmed business travel.</t>
        </is>
      </c>
      <c r="B35" s="194" t="n"/>
      <c r="C35" s="194" t="n"/>
      <c r="D35" s="194" t="n"/>
      <c r="E35" s="194" t="n"/>
      <c r="F35" s="194" t="n"/>
      <c r="G35" s="277" t="n"/>
    </row>
  </sheetData>
  <mergeCells count="7">
    <mergeCell ref="A1:G1"/>
    <mergeCell ref="A3:G3"/>
    <mergeCell ref="A34:G34"/>
    <mergeCell ref="A35:G35"/>
    <mergeCell ref="A32:B32"/>
    <mergeCell ref="A2:G2"/>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2026-03-03T16:22:17Z</dcterms:created>
  <dcterms:modified xmlns:dcterms="http://purl.org/dc/terms/" xmlns:xsi="http://www.w3.org/2001/XMLSchema-instance" xsi:type="dcterms:W3CDTF">2026-03-04T20:59:54Z</dcterms:modified>
  <cp:revision>0</cp:revision>
</cp:coreProperties>
</file>